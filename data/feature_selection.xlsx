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554c18c105eb6f/Documents/Simpli-City/entrega_anid/model_data/metrics_tables_excel_csv/"/>
    </mc:Choice>
  </mc:AlternateContent>
  <xr:revisionPtr revIDLastSave="1203" documentId="8_{946D337E-0574-4844-90AF-5E7ABB2ABF77}" xr6:coauthVersionLast="47" xr6:coauthVersionMax="47" xr10:uidLastSave="{73B17052-0691-4CFD-B903-E53A943E13F9}"/>
  <bookViews>
    <workbookView xWindow="38280" yWindow="1440" windowWidth="29040" windowHeight="15720" xr2:uid="{B90EA669-5D20-48EF-B355-15D2A48981E6}"/>
  </bookViews>
  <sheets>
    <sheet name="feature_summary_final" sheetId="8" r:id="rId1"/>
    <sheet name="feature_summary_1" sheetId="1" r:id="rId2"/>
    <sheet name="feature_importance" sheetId="6" r:id="rId3"/>
    <sheet name="pca" sheetId="4" r:id="rId4"/>
    <sheet name="high_correlation_feat" sheetId="3" r:id="rId5"/>
  </sheets>
  <definedNames>
    <definedName name="_xlnm._FilterDatabase" localSheetId="1" hidden="1">feature_summary_1!$A$1:$AA$158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31" i="1"/>
  <c r="W55" i="1"/>
  <c r="W51" i="1"/>
  <c r="W47" i="1"/>
  <c r="W35" i="1"/>
  <c r="W39" i="1"/>
  <c r="W63" i="1"/>
  <c r="W59" i="1"/>
  <c r="W43" i="1"/>
  <c r="W33" i="1"/>
  <c r="W57" i="1"/>
  <c r="W53" i="1"/>
  <c r="W49" i="1"/>
  <c r="W37" i="1"/>
  <c r="W41" i="1"/>
  <c r="W65" i="1"/>
  <c r="W61" i="1"/>
  <c r="W45" i="1"/>
  <c r="W32" i="1"/>
  <c r="W56" i="1"/>
  <c r="W52" i="1"/>
  <c r="W48" i="1"/>
  <c r="W36" i="1"/>
  <c r="W40" i="1"/>
  <c r="W64" i="1"/>
  <c r="W60" i="1"/>
  <c r="W44" i="1"/>
  <c r="W34" i="1"/>
  <c r="W58" i="1"/>
  <c r="W54" i="1"/>
  <c r="W50" i="1"/>
  <c r="W38" i="1"/>
  <c r="W42" i="1"/>
  <c r="W66" i="1"/>
  <c r="W62" i="1"/>
  <c r="W46" i="1"/>
  <c r="W67" i="1"/>
  <c r="W68" i="1"/>
  <c r="W69" i="1"/>
  <c r="W70" i="1"/>
  <c r="W71" i="1"/>
  <c r="W72" i="1"/>
  <c r="W73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90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</calcChain>
</file>

<file path=xl/sharedStrings.xml><?xml version="1.0" encoding="utf-8"?>
<sst xmlns="http://schemas.openxmlformats.org/spreadsheetml/2006/main" count="1814" uniqueCount="505">
  <si>
    <t>index</t>
  </si>
  <si>
    <t>feature_name</t>
  </si>
  <si>
    <t>description</t>
  </si>
  <si>
    <t>feature_type</t>
  </si>
  <si>
    <t>data_range</t>
  </si>
  <si>
    <t>non_zero_count</t>
  </si>
  <si>
    <t>coverage_pct</t>
  </si>
  <si>
    <t>h3_id</t>
  </si>
  <si>
    <t>Unique id of the hexagon</t>
  </si>
  <si>
    <t>identification</t>
  </si>
  <si>
    <t>non-numeric</t>
  </si>
  <si>
    <t>city</t>
  </si>
  <si>
    <t>Name of the city the cell is in</t>
  </si>
  <si>
    <t>feat_building_count</t>
  </si>
  <si>
    <t>Number of buildings in hexagon</t>
  </si>
  <si>
    <t>morphology, built area</t>
  </si>
  <si>
    <t>0.00 to 108.00</t>
  </si>
  <si>
    <t>feat_total_footprint_area</t>
  </si>
  <si>
    <t>Area covered by buildings in cell</t>
  </si>
  <si>
    <t>0.00 to 28577.00</t>
  </si>
  <si>
    <t>feat_mean_building_area</t>
  </si>
  <si>
    <t>Average building footprint size</t>
  </si>
  <si>
    <t>0.00 to 27564.96</t>
  </si>
  <si>
    <t>feat_std_building_area</t>
  </si>
  <si>
    <t>SD building footprint size</t>
  </si>
  <si>
    <t>0.00 to 19802.39</t>
  </si>
  <si>
    <t>feat_min_building_area</t>
  </si>
  <si>
    <t>Min building footprint size</t>
  </si>
  <si>
    <t>feat_max_building_area</t>
  </si>
  <si>
    <t>Max building footprint size</t>
  </si>
  <si>
    <t>0.00 to 28290.91</t>
  </si>
  <si>
    <t>feat_coverage_ratio</t>
  </si>
  <si>
    <t>Building footprint coverage ratio</t>
  </si>
  <si>
    <t>0.00 to 2.24</t>
  </si>
  <si>
    <t>feat_small_buildings_ratio</t>
  </si>
  <si>
    <t>Ratio of small buildings to total (x &lt; 100)</t>
  </si>
  <si>
    <t>0.00 to 1.00</t>
  </si>
  <si>
    <t>feat_large_buildings_ratio</t>
  </si>
  <si>
    <t>Ratio of large buildings to total (x &gt;= 500)</t>
  </si>
  <si>
    <t>feat_mean_perimeter</t>
  </si>
  <si>
    <t>Average building perimeter in meters</t>
  </si>
  <si>
    <t>0.00 to 913.37</t>
  </si>
  <si>
    <t>feat_std_perimeter</t>
  </si>
  <si>
    <t>SD building perimeter in meters</t>
  </si>
  <si>
    <t>0.00 to 652.11</t>
  </si>
  <si>
    <t>feat_height_avg</t>
  </si>
  <si>
    <t>Building height average (of the averages) from 2016 to 2023</t>
  </si>
  <si>
    <t>height</t>
  </si>
  <si>
    <t>0.00 to 51.32</t>
  </si>
  <si>
    <t>feat_height_latest</t>
  </si>
  <si>
    <t>Building height average from 2023</t>
  </si>
  <si>
    <t>0.00 to 50.99</t>
  </si>
  <si>
    <t>feat_height_trend</t>
  </si>
  <si>
    <t>Building height trend from 2016 to 2023 (mean_height_2023 - mean_height_2016 / number of height columns)</t>
  </si>
  <si>
    <t>-3.43 to 8.50</t>
  </si>
  <si>
    <t>feat_height_max</t>
  </si>
  <si>
    <t>0.00 to 59.89</t>
  </si>
  <si>
    <t>feat_low_rise_ratio_latest</t>
  </si>
  <si>
    <t>Mean ratio of buildings with height (x &lt; 10) in the cell in 2023</t>
  </si>
  <si>
    <t>feat_mid_rise_ratio_latest</t>
  </si>
  <si>
    <t>Mean ratio of buildings with height (x &gt;= 10) &amp; (x &lt; 25) in the cell in 2023</t>
  </si>
  <si>
    <t>feat_high_rise_ratio_latest</t>
  </si>
  <si>
    <t>Mean ratio of buildings with height (x &gt;= 25) in the cell in 2023</t>
  </si>
  <si>
    <t>feat_floor_area_ratio_latest</t>
  </si>
  <si>
    <t xml:space="preserve">Floor area ratio per square meter of the cell in 2023
sum(floors * building_area_m2) / h3_area_m2
floors = building_height / 3.0 </t>
  </si>
  <si>
    <t>0.00 to 19.22</t>
  </si>
  <si>
    <t>feat_high_rise_ratio_mean</t>
  </si>
  <si>
    <t>Mean count of buildings with height (x &gt;= 25) in the cell averaged across all years</t>
  </si>
  <si>
    <t>0.00 to 0.76</t>
  </si>
  <si>
    <t>feat_floor_area_ratio_mean</t>
  </si>
  <si>
    <t>0.00 to 22.19</t>
  </si>
  <si>
    <t>feat_mean_height_2016</t>
  </si>
  <si>
    <t>Building height averaged per H3 cell (from Google buildings 2.5D) for 2016</t>
  </si>
  <si>
    <t>feat_floor_area_ratio_2016</t>
  </si>
  <si>
    <t>Floor area ratio per square meter of the cell in 2016</t>
  </si>
  <si>
    <t>0.00 to 22.18</t>
  </si>
  <si>
    <t>feat_low_rise_ratio_2016</t>
  </si>
  <si>
    <t>Ratio of buildings with height (x &lt; 10) in the cell in 2016</t>
  </si>
  <si>
    <t>feat_mid_rise_ratio_2016</t>
  </si>
  <si>
    <t>Ratio of buildings with height (x &gt;= 10) &amp; (x &lt; 25) in the cell in 2016</t>
  </si>
  <si>
    <t>feat_high_rise_ratio_2016</t>
  </si>
  <si>
    <t>Ratio of buildings with height (x &gt;= 25) in the cell in 2016</t>
  </si>
  <si>
    <t>0.00 to 0.71</t>
  </si>
  <si>
    <t>feat_mean_height_2017</t>
  </si>
  <si>
    <t>Building height averaged per H3 cell (from Google buildings 2.5D) for 2017</t>
  </si>
  <si>
    <t>0.00 to 54.15</t>
  </si>
  <si>
    <t>feat_floor_area_ratio_2017</t>
  </si>
  <si>
    <t>Floor area ratio per square meter of the cell in 2017</t>
  </si>
  <si>
    <t>0.00 to 25.51</t>
  </si>
  <si>
    <t>feat_low_rise_ratio_2017</t>
  </si>
  <si>
    <t>Ratio of buildings with height (x &lt; 10) in the cell in 2017</t>
  </si>
  <si>
    <t>feat_mid_rise_ratio_2017</t>
  </si>
  <si>
    <t>Ratio of buildings with height (x &gt;= 10) &amp; (x &lt; 25) in the cell in 2017</t>
  </si>
  <si>
    <t>feat_high_rise_ratio_2017</t>
  </si>
  <si>
    <t>Ratio of buildings with height (x &gt;= 25) in the cell in 2017</t>
  </si>
  <si>
    <t>feat_mean_height_2018</t>
  </si>
  <si>
    <t>Building height averaged per H3 cell (from Google buildings 2.5D) for 2018</t>
  </si>
  <si>
    <t>0.00 to 57.91</t>
  </si>
  <si>
    <t>feat_floor_area_ratio_2018</t>
  </si>
  <si>
    <t>Floor area ratio per square meter of the cell in 2018</t>
  </si>
  <si>
    <t>0.00 to 24.04</t>
  </si>
  <si>
    <t>feat_low_rise_ratio_2018</t>
  </si>
  <si>
    <t>Ratio of buildings with height (x &lt; 10) in the cell in 2018</t>
  </si>
  <si>
    <t>feat_mid_rise_ratio_2018</t>
  </si>
  <si>
    <t>Ratio of buildings with height (x &gt;= 10) &amp; (x &lt; 25) in the cell in 2018</t>
  </si>
  <si>
    <t>feat_high_rise_ratio_2018</t>
  </si>
  <si>
    <t>Ratio of buildings with height (x &gt;= 25) in the cell in 2018</t>
  </si>
  <si>
    <t>feat_mean_height_2019</t>
  </si>
  <si>
    <t>Building height averaged per H3 cell (from Google buildings 2.5D) for 2019</t>
  </si>
  <si>
    <t>0.00 to 50.94</t>
  </si>
  <si>
    <t>feat_floor_area_ratio_2019</t>
  </si>
  <si>
    <t>Floor area ratio per square meter of the cell in 2019</t>
  </si>
  <si>
    <t>0.00 to 24.41</t>
  </si>
  <si>
    <t>feat_low_rise_ratio_2019</t>
  </si>
  <si>
    <t>Ratio of buildings with height (x &lt; 10) in the cell in 2019</t>
  </si>
  <si>
    <t>feat_mid_rise_ratio_2019</t>
  </si>
  <si>
    <t>Ratio of buildings with height (x &gt;= 10) &amp; (x &lt; 25) in the cell in 2019</t>
  </si>
  <si>
    <t>feat_high_rise_ratio_2019</t>
  </si>
  <si>
    <t>Ratio of buildings with height (x &gt;= 25) in the cell in 2019</t>
  </si>
  <si>
    <t>feat_mean_height_2020</t>
  </si>
  <si>
    <t>Building height averaged per H3 cell (from Google buildings 2.5D) for 2020</t>
  </si>
  <si>
    <t>0.00 to 52.73</t>
  </si>
  <si>
    <t>feat_floor_area_ratio_2020</t>
  </si>
  <si>
    <t>Floor area ratio per square meter of the cell in 2020</t>
  </si>
  <si>
    <t>0.00 to 22.92</t>
  </si>
  <si>
    <t>feat_low_rise_ratio_2020</t>
  </si>
  <si>
    <t>Ratio of buildings with height (x &lt; 10) in the cell in 2020</t>
  </si>
  <si>
    <t>feat_mid_rise_ratio_2020</t>
  </si>
  <si>
    <t>Ratio of buildings with height (x &gt;= 10) &amp; (x &lt; 25) in the cell in 2020</t>
  </si>
  <si>
    <t>feat_high_rise_ratio_2020</t>
  </si>
  <si>
    <t>Ratio of buildings with height (x &gt;= 25) in the cell in 2020</t>
  </si>
  <si>
    <t>feat_mean_height_2021</t>
  </si>
  <si>
    <t>Building height averaged per H3 cell (from Google buildings 2.5D) for 2021</t>
  </si>
  <si>
    <t>0.00 to 49.86</t>
  </si>
  <si>
    <t>feat_floor_area_ratio_2021</t>
  </si>
  <si>
    <t>Floor area ratio per square meter of the cell in 2021</t>
  </si>
  <si>
    <t>0.00 to 21.83</t>
  </si>
  <si>
    <t>feat_low_rise_ratio_2021</t>
  </si>
  <si>
    <t>Ratio of buildings with height (x &lt; 10) in the cell in 2021</t>
  </si>
  <si>
    <t>feat_mid_rise_ratio_2021</t>
  </si>
  <si>
    <t>Ratio of buildings with height (x &gt;= 10) &amp; (x &lt; 25) in the cell in 2021</t>
  </si>
  <si>
    <t>feat_high_rise_ratio_2021</t>
  </si>
  <si>
    <t>Ratio of buildings with height (x &gt;= 25) in the cell in 2021</t>
  </si>
  <si>
    <t>feat_mean_height_2022</t>
  </si>
  <si>
    <t>Building height averaged per H3 cell (from Google buildings 2.5D) for 2022</t>
  </si>
  <si>
    <t>0.00 to 54.50</t>
  </si>
  <si>
    <t>feat_floor_area_ratio_2022</t>
  </si>
  <si>
    <t>Floor area ratio per square meter of the cell in 2022</t>
  </si>
  <si>
    <t>0.00 to 17.40</t>
  </si>
  <si>
    <t>feat_low_rise_ratio_2022</t>
  </si>
  <si>
    <t>Ratio of buildings with height (x &lt; 10) in the cell in 2022</t>
  </si>
  <si>
    <t>feat_mid_rise_ratio_2022</t>
  </si>
  <si>
    <t>Ratio of buildings with height (x &gt;= 10) &amp; (x &lt; 25) in the cell in 2022</t>
  </si>
  <si>
    <t>feat_high_rise_ratio_2022</t>
  </si>
  <si>
    <t>Ratio of buildings with height (x &gt;= 25) in the cell in 2022</t>
  </si>
  <si>
    <t>feat_mean_height_2023</t>
  </si>
  <si>
    <t>Building height averaged per H3 cell (from Google buildings 2.5D) for 2023</t>
  </si>
  <si>
    <t>feat_floor_area_ratio_2023</t>
  </si>
  <si>
    <t>Floor area ratio per square meter of the cell in 2023</t>
  </si>
  <si>
    <t>feat_low_rise_ratio_2023</t>
  </si>
  <si>
    <t>Ratio of buildings with height (x &lt; 10) in the cell in 2023</t>
  </si>
  <si>
    <t>feat_mid_rise_ratio_2023</t>
  </si>
  <si>
    <t>Ratio of buildings with height (x &gt;= 10) &amp; (x &lt; 25) in the cell in 2023</t>
  </si>
  <si>
    <t>feat_high_rise_ratio_2023</t>
  </si>
  <si>
    <t>Ratio of buildings with height (x &gt;= 25) in the cell in 2023</t>
  </si>
  <si>
    <t>feat_ndbi_2023_mean</t>
  </si>
  <si>
    <t>Normalized Difference Built-up Index (built-up area intensity)</t>
  </si>
  <si>
    <t>spectral</t>
  </si>
  <si>
    <t>-0.61 to 0.21</t>
  </si>
  <si>
    <t>feat_savi_2023_mean</t>
  </si>
  <si>
    <t>Soil Adjusted Vegetation Index (vegetation density)</t>
  </si>
  <si>
    <t>-0.00 to 0.67</t>
  </si>
  <si>
    <t>feat_poi_commercial_count</t>
  </si>
  <si>
    <t>Point of Interest classified as 'commercial' count</t>
  </si>
  <si>
    <t>points of interest</t>
  </si>
  <si>
    <t>0.00 to 28.00</t>
  </si>
  <si>
    <t>feat_poi_education_count</t>
  </si>
  <si>
    <t>Point of Interest classified as 'education' count</t>
  </si>
  <si>
    <t>0.00 to 5.00</t>
  </si>
  <si>
    <t>feat_poi_health_count</t>
  </si>
  <si>
    <t>Point of Interest classified as 'health' count</t>
  </si>
  <si>
    <t>0.00 to 8.00</t>
  </si>
  <si>
    <t>feat_poi_industrial_count</t>
  </si>
  <si>
    <t>Point of Interest classified as 'industrial' count</t>
  </si>
  <si>
    <t>0.00 to 6.00</t>
  </si>
  <si>
    <t>feat_poi_office_count</t>
  </si>
  <si>
    <t>Point of Interest classified as 'office' count</t>
  </si>
  <si>
    <t>0.00 to 13.00</t>
  </si>
  <si>
    <t>feat_poi_office_commercial_mixed_count</t>
  </si>
  <si>
    <t>Point of Interest classified as 'office_commercial_mixed' count</t>
  </si>
  <si>
    <t>0.00 to 35.00</t>
  </si>
  <si>
    <t>feat_poi_other_count</t>
  </si>
  <si>
    <t>Point of Interest classified as 'other' count</t>
  </si>
  <si>
    <t>0.00 to 24.00</t>
  </si>
  <si>
    <t>feat_poi_religion_count</t>
  </si>
  <si>
    <t>Point of Interest classified as 'religion' count</t>
  </si>
  <si>
    <t>0.00 to 2.00</t>
  </si>
  <si>
    <t>feat_poi_residential_count</t>
  </si>
  <si>
    <t>Point of Interest classified as 'residential' count</t>
  </si>
  <si>
    <t>0.00 to 3.00</t>
  </si>
  <si>
    <t>feat_poi_commercial_existence_sum</t>
  </si>
  <si>
    <t>Point of Interest classified as 'commercial' confidence score sum</t>
  </si>
  <si>
    <t>0.00 to 24.23</t>
  </si>
  <si>
    <t>feat_poi_education_existence_sum</t>
  </si>
  <si>
    <t>Point of Interest classified as 'education' confidence score sum</t>
  </si>
  <si>
    <t>0.00 to 4.36</t>
  </si>
  <si>
    <t>feat_poi_health_existence_sum</t>
  </si>
  <si>
    <t>Point of Interest classified as 'health' confidence score sum</t>
  </si>
  <si>
    <t>0.00 to 7.49</t>
  </si>
  <si>
    <t>feat_poi_industrial_existence_sum</t>
  </si>
  <si>
    <t>Point of Interest classified as 'industrial' confidence score sum</t>
  </si>
  <si>
    <t>0.00 to 5.71</t>
  </si>
  <si>
    <t>feat_poi_office_existence_sum</t>
  </si>
  <si>
    <t>Point of Interest classified as 'office' confidence score sum</t>
  </si>
  <si>
    <t>0.00 to 12.31</t>
  </si>
  <si>
    <t>feat_poi_office_commercial_mixed_existence_sum</t>
  </si>
  <si>
    <t>Point of Interest classified as 'office_commercial_mixed' confidence score sum</t>
  </si>
  <si>
    <t>0.00 to 33.28</t>
  </si>
  <si>
    <t>feat_poi_other_existence_sum</t>
  </si>
  <si>
    <t>Point of Interest classified as 'other' confidence score sum</t>
  </si>
  <si>
    <t>0.00 to 21.40</t>
  </si>
  <si>
    <t>feat_poi_religion_existence_sum</t>
  </si>
  <si>
    <t>Point of Interest classified as 'religion' confidence score sum</t>
  </si>
  <si>
    <t>0.00 to 1.72</t>
  </si>
  <si>
    <t>feat_poi_residential_existence_sum</t>
  </si>
  <si>
    <t>Point of Interest classified as 'residential' confidence score sum</t>
  </si>
  <si>
    <t>0.00 to 2.85</t>
  </si>
  <si>
    <t>feat_poi_commercial_existence_mean</t>
  </si>
  <si>
    <t>Point of Interest classified as 'commercial' confidence score mean</t>
  </si>
  <si>
    <t>feat_poi_education_existence_mean</t>
  </si>
  <si>
    <t>Point of Interest classified as 'education' confidence score mean</t>
  </si>
  <si>
    <t>0.00 to 0.99</t>
  </si>
  <si>
    <t>feat_poi_health_existence_mean</t>
  </si>
  <si>
    <t>Point of Interest classified as 'health' confidence score mean</t>
  </si>
  <si>
    <t>feat_poi_industrial_existence_mean</t>
  </si>
  <si>
    <t>Point of Interest classified as 'industrial' confidence score mean</t>
  </si>
  <si>
    <t>feat_poi_office_existence_mean</t>
  </si>
  <si>
    <t>Point of Interest classified as 'office' confidence score mean</t>
  </si>
  <si>
    <t>feat_poi_office_commercial_mixed_existence_mean</t>
  </si>
  <si>
    <t>Point of Interest classified as 'office_commercial_mixed' confidence score mean</t>
  </si>
  <si>
    <t>feat_poi_other_existence_mean</t>
  </si>
  <si>
    <t>Point of Interest classified as 'other' confidence score mean</t>
  </si>
  <si>
    <t>feat_poi_religion_existence_mean</t>
  </si>
  <si>
    <t>Point of Interest classified as 'religion' confidence score mean</t>
  </si>
  <si>
    <t>0.00 to 0.96</t>
  </si>
  <si>
    <t>feat_poi_residential_existence_mean</t>
  </si>
  <si>
    <t>Point of Interest classified as 'residential' confidence score mean</t>
  </si>
  <si>
    <t>0.00 to 0.95</t>
  </si>
  <si>
    <t>feat_poi_commercial_classconf_mean</t>
  </si>
  <si>
    <t>Point of Interest classified as 'commercial' classification confidence score mean</t>
  </si>
  <si>
    <t>0.00 to 0.80</t>
  </si>
  <si>
    <t>feat_poi_education_classconf_mean</t>
  </si>
  <si>
    <t>Point of Interest classified as 'education' classification confidence score mean</t>
  </si>
  <si>
    <t>feat_poi_health_classconf_mean</t>
  </si>
  <si>
    <t>Point of Interest classified as 'health' classification confidence score mean</t>
  </si>
  <si>
    <t>0.00 to 0.90</t>
  </si>
  <si>
    <t>feat_poi_industrial_classconf_mean</t>
  </si>
  <si>
    <t>Point of Interest classified as 'industrial' classification confidence score mean</t>
  </si>
  <si>
    <t>feat_poi_office_classconf_mean</t>
  </si>
  <si>
    <t>Point of Interest classified as 'office' classification confidence score mean</t>
  </si>
  <si>
    <t>0.00 to 0.85</t>
  </si>
  <si>
    <t>feat_poi_office_commercial_mixed_classconf_mean</t>
  </si>
  <si>
    <t>Point of Interest classified as 'office_commercial_mixed' classification confidence score mean</t>
  </si>
  <si>
    <t>0.00 to 0.60</t>
  </si>
  <si>
    <t>feat_poi_other_classconf_mean</t>
  </si>
  <si>
    <t>Point of Interest classified as 'other' classification confidence score mean</t>
  </si>
  <si>
    <t>0.00 to 0.63</t>
  </si>
  <si>
    <t>feat_poi_religion_classconf_mean</t>
  </si>
  <si>
    <t>Point of Interest classified as 'religion' classification confidence score mean</t>
  </si>
  <si>
    <t>feat_poi_residential_classconf_mean</t>
  </si>
  <si>
    <t>Point of Interest classified as 'residential' classification confidence score mean</t>
  </si>
  <si>
    <t>feat_poi_total_count</t>
  </si>
  <si>
    <t>Point of Interest total count</t>
  </si>
  <si>
    <t>0.00 to 81.00</t>
  </si>
  <si>
    <t>feat_poi_diversity</t>
  </si>
  <si>
    <t>Point of Interest diversity value (Shannon index)</t>
  </si>
  <si>
    <t>-0.00 to 1.63</t>
  </si>
  <si>
    <t>feat_poi_neighbor_total_count</t>
  </si>
  <si>
    <t>Point of Interest neighboring cells total count</t>
  </si>
  <si>
    <t>0.00 to 264.00</t>
  </si>
  <si>
    <t>feat_poi_neighbor_mean_count</t>
  </si>
  <si>
    <t>Point of Interest neighboring cells mean count</t>
  </si>
  <si>
    <t>0.00 to 44.00</t>
  </si>
  <si>
    <t>feat_poi_neighbor_office_existence_sum</t>
  </si>
  <si>
    <t>Point of Interest classified as 'office' in neighboring cells sum</t>
  </si>
  <si>
    <t>0.00 to 34.22</t>
  </si>
  <si>
    <t>feat_poi_neighbor_commercial_existence_sum</t>
  </si>
  <si>
    <t>Point of Interest classified as 'commercial' in neighboring cells sum</t>
  </si>
  <si>
    <t>0.00 to 74.89</t>
  </si>
  <si>
    <t>feat_poi_neighbor_office_commercial_mixed_existence_sum</t>
  </si>
  <si>
    <t>Point of Interest classified as 'office_commercial_mixed' in neighboring cells sum</t>
  </si>
  <si>
    <t>0.00 to 65.47</t>
  </si>
  <si>
    <t>feat_census_n_per</t>
  </si>
  <si>
    <t>Area-weighted spatial interpolation of census variable "number of people" to the H3 cells</t>
  </si>
  <si>
    <t>census</t>
  </si>
  <si>
    <t>0.00 to 390.60</t>
  </si>
  <si>
    <t>feat_census_n_ocupado</t>
  </si>
  <si>
    <t>Area-weighted spatial interpolation of census variable "number of persons aged 15 and over who are employed" to the H3 cells</t>
  </si>
  <si>
    <t>0.00 to 244.57</t>
  </si>
  <si>
    <t>feat_census_n_transporte_auto</t>
  </si>
  <si>
    <t>Area-weighted spatial interpolation of census variable "number of people employed outside their home whose primary means of transportation is: private car" to the H3 cells</t>
  </si>
  <si>
    <t>0.00 to 91.80</t>
  </si>
  <si>
    <t>feat_census_n_transporte_publico</t>
  </si>
  <si>
    <t>Area-weighted spatial interpolation of census variable "number of people employed outside their home whose primary means of transportation is: public transit" to the H3 cells</t>
  </si>
  <si>
    <t>0.00 to 94.75</t>
  </si>
  <si>
    <t>feat_census_n_transporte_camina</t>
  </si>
  <si>
    <t>Area-weighted spatial interpolation of census variable "number of people employed outside their home whose primary means of transportation is: walking" to the H3 cells</t>
  </si>
  <si>
    <t>0.00 to 71.07</t>
  </si>
  <si>
    <t>feat_census_n_transporte_bicicleta</t>
  </si>
  <si>
    <t>Area-weighted spatial interpolation of census variable "number of people employed outside their home whose primary means of transportation is: bicycle" to the H3 cells</t>
  </si>
  <si>
    <t>0.00 to 17.25</t>
  </si>
  <si>
    <t>feat_census_n_hog</t>
  </si>
  <si>
    <t>Area-weighted spatial interpolation of census variable "homes" to the H3 cells</t>
  </si>
  <si>
    <t>0.00 to 238.61</t>
  </si>
  <si>
    <t>feat_census_n_hog_unipersonales</t>
  </si>
  <si>
    <t>Area-weighted spatial interpolation of census variable "single-person households" to the H3 cells</t>
  </si>
  <si>
    <t>0.00 to 126.83</t>
  </si>
  <si>
    <t>feat_census_n_vp</t>
  </si>
  <si>
    <t>Area-weighted spatial interpolation of census variable "number of private homes" to the H3 cells</t>
  </si>
  <si>
    <t>0.00 to 381.56</t>
  </si>
  <si>
    <t>feat_census_n_tipo_viv_casa</t>
  </si>
  <si>
    <t>Area-weighted spatial interpolation of census variable "number of homes with housing type: house" to the H3 cells</t>
  </si>
  <si>
    <t>0.00 to 131.92</t>
  </si>
  <si>
    <t>feat_census_n_tipo_viv_depto</t>
  </si>
  <si>
    <t>Area-weighted spatial interpolation of census variable Homes with housing type: apartment" to the H3 cells</t>
  </si>
  <si>
    <t>0.00 to 375.77</t>
  </si>
  <si>
    <t>feat_census_n_dormitorios_1</t>
  </si>
  <si>
    <t>Area-weighted spatial interpolation of census variable "number of 1-bedroom homes" to the H3 cells</t>
  </si>
  <si>
    <t>0.00 to 133.67</t>
  </si>
  <si>
    <t>feat_census_n_dormitorios_2</t>
  </si>
  <si>
    <t>Area-weighted spatial interpolation of census variable "number of 2-bedroom homes" to the H3 cells</t>
  </si>
  <si>
    <t>0.00 to 93.65</t>
  </si>
  <si>
    <t>feat_census_n_dormitorios_3</t>
  </si>
  <si>
    <t>Area-weighted spatial interpolation of census variable "number of 3-bedroom homes" to the H3 cells</t>
  </si>
  <si>
    <t>0.00 to 49.84</t>
  </si>
  <si>
    <t>feat_census_n_dormitorios_4</t>
  </si>
  <si>
    <t>Area-weighted spatial interpolation of census variable "number of 4-bedroom homes" to the H3 cells</t>
  </si>
  <si>
    <t>0.00 to 14.32</t>
  </si>
  <si>
    <t>feat_census_n_dormitorios_5</t>
  </si>
  <si>
    <t>Area-weighted spatial interpolation of census variable "number of 5-bedroom homes" to the H3 cells</t>
  </si>
  <si>
    <t>0.00 to 5.28</t>
  </si>
  <si>
    <t>feat_census_n_dormitorios_6_o_mas</t>
  </si>
  <si>
    <t>Area-weighted spatial interpolation of census variable "number of 6-or-more-bedroom homes" to the H3 cells</t>
  </si>
  <si>
    <t>0.00 to 4.14</t>
  </si>
  <si>
    <t>feat_census_n_viv_hacinadas</t>
  </si>
  <si>
    <t>Area-weighted spatial interpolation of census variable "number of overcrowded housing" to the H3 cells</t>
  </si>
  <si>
    <t>0.00 to 12.32</t>
  </si>
  <si>
    <t>feat_census_prom_per_hog</t>
  </si>
  <si>
    <t>Area-weighted spatial interpolation of census variable "average number of persons per household" to the H3 cells</t>
  </si>
  <si>
    <t>0.00 to 4.95</t>
  </si>
  <si>
    <t>feat_x</t>
  </si>
  <si>
    <t>X value for the centroid of the cell in EPSG=32719, UTM Zone 19S</t>
  </si>
  <si>
    <t>geometry</t>
  </si>
  <si>
    <t>133581.07 to 208416.78</t>
  </si>
  <si>
    <t>feat_y</t>
  </si>
  <si>
    <t>Y value for the centroid of the cell in EPSG=32719, UTM Zone 19S</t>
  </si>
  <si>
    <t>5496390.44 to 5856303.92</t>
  </si>
  <si>
    <t>target_residential_m2</t>
  </si>
  <si>
    <t>built area of residential land use</t>
  </si>
  <si>
    <t>target</t>
  </si>
  <si>
    <t>0.00 to 26529.00</t>
  </si>
  <si>
    <t>target_commercial_m2</t>
  </si>
  <si>
    <t>built area of commercial land use</t>
  </si>
  <si>
    <t>0.00 to 128939.00</t>
  </si>
  <si>
    <t>target_office_m2</t>
  </si>
  <si>
    <t>built area of office land use</t>
  </si>
  <si>
    <t>0.00 to 14675.00</t>
  </si>
  <si>
    <t>target_education_m2</t>
  </si>
  <si>
    <t>built area of education land use</t>
  </si>
  <si>
    <t>0.00 to 44702.00</t>
  </si>
  <si>
    <t>target_health_m2</t>
  </si>
  <si>
    <t>built area of health land use</t>
  </si>
  <si>
    <t>0.00 to 38540.00</t>
  </si>
  <si>
    <t>target_hotel_m2</t>
  </si>
  <si>
    <t>built area of hotel land use</t>
  </si>
  <si>
    <t>0.00 to 11252.00</t>
  </si>
  <si>
    <t>target_industrial_m2</t>
  </si>
  <si>
    <t>built area of industrial land use</t>
  </si>
  <si>
    <t>0.00 to 60601.00</t>
  </si>
  <si>
    <t>target_other_m2</t>
  </si>
  <si>
    <t>built area of other land use (includes all categories not explicitly mentioned)</t>
  </si>
  <si>
    <t>0.00 to 50000.00</t>
  </si>
  <si>
    <t>target_parking_m2</t>
  </si>
  <si>
    <t>built area of parking land use</t>
  </si>
  <si>
    <t>0.00 to 10970.00</t>
  </si>
  <si>
    <t>target_recreation_m2</t>
  </si>
  <si>
    <t>built area of recreation land use</t>
  </si>
  <si>
    <t>0.00 to 45495.00</t>
  </si>
  <si>
    <t>target_religion_m2</t>
  </si>
  <si>
    <t>built area of religion land use</t>
  </si>
  <si>
    <t>0.00 to 6132.00</t>
  </si>
  <si>
    <t>target_agricola_m2</t>
  </si>
  <si>
    <t>built area of agricultural use</t>
  </si>
  <si>
    <t>0.00 to 6797.00</t>
  </si>
  <si>
    <t>target_sitio_eriazo_m2</t>
  </si>
  <si>
    <t>built area of sitio eriazo land use</t>
  </si>
  <si>
    <t>0.00 to 2534.00</t>
  </si>
  <si>
    <t>geometry of the cell</t>
  </si>
  <si>
    <t>is_test</t>
  </si>
  <si>
    <t>label for the cell, whether is train or test</t>
  </si>
  <si>
    <t>eliminated</t>
  </si>
  <si>
    <t>corr_filter</t>
  </si>
  <si>
    <t>variance_threshold</t>
  </si>
  <si>
    <t>importance_order</t>
  </si>
  <si>
    <t>importance</t>
  </si>
  <si>
    <t>corr_residential</t>
  </si>
  <si>
    <t>corr_commercial</t>
  </si>
  <si>
    <t>corr_office</t>
  </si>
  <si>
    <t>a1</t>
  </si>
  <si>
    <t>feat_plaza_dx</t>
  </si>
  <si>
    <t>Distance of hexagon centroid from the central plaza of the city, 'x'; if centroid intersects the plaza, value is 0.0</t>
  </si>
  <si>
    <t>-7510.40 to 7443.34</t>
  </si>
  <si>
    <t>feat_plaza_dy</t>
  </si>
  <si>
    <t>Distance of hexagon centroid from the central plaza of the city, 'y'; if centroid intersects the plaza, value is 0.0</t>
  </si>
  <si>
    <t>-7531.28 to 8618.13</t>
  </si>
  <si>
    <t>Mean floor area ratio per square meter of the cell averaged across all years</t>
  </si>
  <si>
    <t>importance_10</t>
  </si>
  <si>
    <t>score</t>
  </si>
  <si>
    <t>select</t>
  </si>
  <si>
    <t>Building height max across all years</t>
  </si>
  <si>
    <t>a2</t>
  </si>
  <si>
    <t>a3</t>
  </si>
  <si>
    <t>a4</t>
  </si>
  <si>
    <t>select_d</t>
  </si>
  <si>
    <t>feat_census_n_dormitorios_4_o_mas</t>
  </si>
  <si>
    <t>feat_poi_neighbor_center_mean</t>
  </si>
  <si>
    <t>Area-weighted spatial interpolation of census variable "number of 4-bedroom homes" or more to the H3 cells</t>
  </si>
  <si>
    <t>Point of Interest classified as 'office', 'commercial', and 'office_commercial_mixed' aggregated, average of count in neighboring cells</t>
  </si>
  <si>
    <t>feat_poi_center_count</t>
  </si>
  <si>
    <t>feat_poi_center_sum</t>
  </si>
  <si>
    <t>feat_poi_neighbor_center_existence_sum</t>
  </si>
  <si>
    <t>feat_census_n_dormitorios_1_2</t>
  </si>
  <si>
    <t>Point of Interest classified as 'office', 'commercial', and 'office_commercial_mixed' aggregated, count</t>
  </si>
  <si>
    <t>Point of Interest classified as 'office', 'commercial', and 'office_commercial_mixed' aggregated, confidence score sum</t>
  </si>
  <si>
    <t>Point of Interest classified as 'office', 'commercial', and 'office_commercial_mixed' aggregated, sum of the confidence scores in neighboring cells</t>
  </si>
  <si>
    <t>Area-weighted spatial interpolation of census variable "number of 1-bedroom homes" or "number of 2-bedroom homes" to the H3 cells</t>
  </si>
  <si>
    <t>feature1</t>
  </si>
  <si>
    <t>feature2</t>
  </si>
  <si>
    <t>correlation</t>
  </si>
  <si>
    <t>feature</t>
  </si>
  <si>
    <t>pc1_loading</t>
  </si>
  <si>
    <t>pc2_loading</t>
  </si>
  <si>
    <t>total_loading</t>
  </si>
  <si>
    <t>importance_all</t>
  </si>
  <si>
    <t>importance_corr_var</t>
  </si>
  <si>
    <t>corr</t>
  </si>
  <si>
    <t>var</t>
  </si>
  <si>
    <t>import</t>
  </si>
  <si>
    <t>import_cv</t>
  </si>
  <si>
    <t>Vacant private homes</t>
  </si>
  <si>
    <t>Calculated population density per area of the block</t>
  </si>
  <si>
    <t>Homes with toilet facilities: inside the home or outside the home, connected to the sewer system</t>
  </si>
  <si>
    <t>Households with internet access</t>
  </si>
  <si>
    <t>Homes with waste disposal: waste is collected by sanitation services</t>
  </si>
  <si>
    <t>feat_census_n_viv_con_alcantarillado</t>
  </si>
  <si>
    <t>feat_census_n_viv_con_internet</t>
  </si>
  <si>
    <t>feat_census_n_viv_con_recoleccion_basura</t>
  </si>
  <si>
    <t>feat_census_n_vp_desocupada</t>
  </si>
  <si>
    <t>feat_census_pop_density</t>
  </si>
  <si>
    <t>identifier</t>
  </si>
  <si>
    <t>-0.61 to 0.35</t>
  </si>
  <si>
    <t>-7510.40 to 7788.90</t>
  </si>
  <si>
    <t>0.00 to 3.58</t>
  </si>
  <si>
    <t>0.00 to 44759.68</t>
  </si>
  <si>
    <t>0.00 to 28458.46</t>
  </si>
  <si>
    <t>0.00 to 1218.51</t>
  </si>
  <si>
    <t>0.00 to 726.08</t>
  </si>
  <si>
    <t>0.00 to 45333.18</t>
  </si>
  <si>
    <t>0.00 to 488.14</t>
  </si>
  <si>
    <t>0.00 to 234.72</t>
  </si>
  <si>
    <t>0.00 to 237.08</t>
  </si>
  <si>
    <t>0.00 to 233.95</t>
  </si>
  <si>
    <t>0.00 to 131.12</t>
  </si>
  <si>
    <t>0.00 to 0.09</t>
  </si>
  <si>
    <t>0.00 to 63.00</t>
  </si>
  <si>
    <t>0.00 to 59.70</t>
  </si>
  <si>
    <t>0.00 to 40.00</t>
  </si>
  <si>
    <t>0.00 to 35.68</t>
  </si>
  <si>
    <t>-0.00 to 1.82</t>
  </si>
  <si>
    <t>0.00 to 5.53</t>
  </si>
  <si>
    <t>0.00 to 22.00</t>
  </si>
  <si>
    <t>0.00 to 20.99</t>
  </si>
  <si>
    <t>0.00 to 9.00</t>
  </si>
  <si>
    <t>0.00 to 8.24</t>
  </si>
  <si>
    <t>0.00 to 186.72</t>
  </si>
  <si>
    <t>0.00 to 33.17</t>
  </si>
  <si>
    <t>0.00 to 116.51</t>
  </si>
  <si>
    <t>0.00 to 38.61</t>
  </si>
  <si>
    <t>0.00 to 29.00</t>
  </si>
  <si>
    <t>0.00 to 27.57</t>
  </si>
  <si>
    <t>0.00 to 14.00</t>
  </si>
  <si>
    <t>0.00 to 13.26</t>
  </si>
  <si>
    <t>0.00 to 17.00</t>
  </si>
  <si>
    <t>0.00 to 15.74</t>
  </si>
  <si>
    <t>0.00 to 2.87</t>
  </si>
  <si>
    <t>0.00 to 0.78</t>
  </si>
  <si>
    <t>0.00 to 0.98</t>
  </si>
  <si>
    <t>0.00 to 31960.00</t>
  </si>
  <si>
    <t>0.00 to 24387.00</t>
  </si>
  <si>
    <t>target_commercial_office_m2</t>
  </si>
  <si>
    <t>built area of commercial AND office land use</t>
  </si>
  <si>
    <t>0.00 to 109184.00</t>
  </si>
  <si>
    <t>0.00 to 15606.00</t>
  </si>
  <si>
    <t>target_total_m2</t>
  </si>
  <si>
    <t>total built area (according to the cadaster)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</si>
</sst>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Calibri"/>
      <family val="2"/>
    </font>
    <font>
      <b/>
      <sz val="11"/>
      <color rgb="FFFF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0" fontId="16" fillId="0" borderId="0" xfId="0" applyFont="1"/>
    <xf numFmtId="0" fontId="16" fillId="0" borderId="0" xfId="0" applyFont="1" applyAlignment="1">
      <alignment wrapText="1"/>
    </xf>
    <xf numFmtId="0" fontId="0" fillId="0" borderId="0" xfId="0" applyAlignment="1">
      <alignment horizontal="right"/>
    </xf>
    <xf numFmtId="49" fontId="0" fillId="0" borderId="0" xfId="0" applyNumberFormat="1"/>
    <xf numFmtId="0" fontId="0" fillId="0" borderId="0" xfId="0" applyAlignment="1">
      <alignment horizontal="right"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horizontal="right"/>
    </xf>
    <xf numFmtId="0" fontId="0" fillId="33" borderId="0" xfId="0" applyFill="1"/>
    <xf numFmtId="0" fontId="0" fillId="33" borderId="0" xfId="0" quotePrefix="1" applyFill="1"/>
    <xf numFmtId="0" fontId="18" fillId="0" borderId="10" xfId="0" applyFont="1" applyBorder="1" applyAlignment="1">
      <alignment horizontal="center" vertical="top"/>
    </xf>
    <xf numFmtId="0" fontId="18" fillId="0" borderId="0" xfId="0" applyFont="1" applyAlignment="1">
      <alignment horizontal="center" vertical="top"/>
    </xf>
    <xf numFmtId="0" fontId="19" fillId="0" borderId="0" xfId="0" applyFont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713FF-8829-4144-BF60-F1274C4ACA97}">
  <dimension ref="A1:I160"/>
  <sheetViews>
    <sheetView tabSelected="1" topLeftCell="A34" workbookViewId="0">
      <selection activeCell="F9" sqref="F9"/>
    </sheetView>
  </sheetViews>
  <sheetFormatPr defaultRowHeight="15" x14ac:dyDescent="0.25"/>
  <cols>
    <col min="2" max="2" width="55.28515625" bestFit="1" customWidth="1"/>
    <col min="3" max="3" width="21.42578125" bestFit="1" customWidth="1"/>
    <col min="4" max="4" width="11.140625" customWidth="1"/>
    <col min="5" max="5" width="17.7109375" bestFit="1" customWidth="1"/>
    <col min="6" max="6" width="15" bestFit="1" customWidth="1"/>
    <col min="7" max="7" width="12.42578125" bestFit="1" customWidth="1"/>
    <col min="8" max="8" width="58.140625" customWidth="1"/>
  </cols>
  <sheetData>
    <row r="1" spans="1:9" x14ac:dyDescent="0.25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5</v>
      </c>
      <c r="G1" s="2" t="s">
        <v>6</v>
      </c>
      <c r="H1" s="3" t="s">
        <v>2</v>
      </c>
      <c r="I1" s="13" t="s">
        <v>418</v>
      </c>
    </row>
    <row r="2" spans="1:9" x14ac:dyDescent="0.25">
      <c r="A2">
        <v>1</v>
      </c>
      <c r="B2" t="s">
        <v>7</v>
      </c>
      <c r="C2" t="s">
        <v>9</v>
      </c>
      <c r="D2" t="s">
        <v>459</v>
      </c>
      <c r="E2" t="s">
        <v>10</v>
      </c>
      <c r="F2">
        <v>24150</v>
      </c>
      <c r="G2">
        <v>100</v>
      </c>
      <c r="H2" s="1" t="s">
        <v>8</v>
      </c>
      <c r="I2" s="14">
        <v>0</v>
      </c>
    </row>
    <row r="3" spans="1:9" x14ac:dyDescent="0.25">
      <c r="A3">
        <v>2</v>
      </c>
      <c r="B3" t="s">
        <v>11</v>
      </c>
      <c r="C3" t="s">
        <v>9</v>
      </c>
      <c r="D3" t="s">
        <v>459</v>
      </c>
      <c r="E3" t="s">
        <v>10</v>
      </c>
      <c r="F3">
        <v>24150</v>
      </c>
      <c r="G3">
        <v>100</v>
      </c>
      <c r="H3" s="1" t="s">
        <v>12</v>
      </c>
      <c r="I3" s="14">
        <v>0</v>
      </c>
    </row>
    <row r="4" spans="1:9" x14ac:dyDescent="0.25">
      <c r="A4">
        <v>3</v>
      </c>
      <c r="B4" t="s">
        <v>398</v>
      </c>
      <c r="C4" t="s">
        <v>9</v>
      </c>
      <c r="D4" t="s">
        <v>459</v>
      </c>
      <c r="E4" t="s">
        <v>36</v>
      </c>
      <c r="F4">
        <v>4851</v>
      </c>
      <c r="G4">
        <v>20.086956521739101</v>
      </c>
      <c r="H4" s="1" t="s">
        <v>399</v>
      </c>
      <c r="I4" s="14">
        <v>0</v>
      </c>
    </row>
    <row r="5" spans="1:9" x14ac:dyDescent="0.25">
      <c r="A5">
        <v>4</v>
      </c>
      <c r="B5" t="s">
        <v>352</v>
      </c>
      <c r="C5" t="s">
        <v>352</v>
      </c>
      <c r="D5" t="s">
        <v>459</v>
      </c>
      <c r="E5" t="s">
        <v>10</v>
      </c>
      <c r="F5">
        <v>24150</v>
      </c>
      <c r="G5">
        <v>100</v>
      </c>
      <c r="H5" s="1" t="s">
        <v>397</v>
      </c>
      <c r="I5" s="14">
        <v>0</v>
      </c>
    </row>
    <row r="6" spans="1:9" x14ac:dyDescent="0.25">
      <c r="A6">
        <v>5</v>
      </c>
      <c r="B6" t="s">
        <v>165</v>
      </c>
      <c r="C6" t="s">
        <v>167</v>
      </c>
      <c r="D6" t="s">
        <v>439</v>
      </c>
      <c r="E6" t="s">
        <v>460</v>
      </c>
      <c r="F6">
        <v>24054</v>
      </c>
      <c r="G6">
        <v>99.602484472049696</v>
      </c>
      <c r="H6" s="1" t="s">
        <v>166</v>
      </c>
      <c r="I6" s="14">
        <v>1</v>
      </c>
    </row>
    <row r="7" spans="1:9" x14ac:dyDescent="0.25">
      <c r="A7">
        <v>6</v>
      </c>
      <c r="B7" t="s">
        <v>169</v>
      </c>
      <c r="C7" t="s">
        <v>167</v>
      </c>
      <c r="D7" t="s">
        <v>439</v>
      </c>
      <c r="E7" t="s">
        <v>171</v>
      </c>
      <c r="F7">
        <v>24055</v>
      </c>
      <c r="G7">
        <v>99.606625258799099</v>
      </c>
      <c r="H7" s="1" t="s">
        <v>170</v>
      </c>
      <c r="I7" s="14">
        <v>1</v>
      </c>
    </row>
    <row r="8" spans="1:9" ht="30" x14ac:dyDescent="0.25">
      <c r="A8">
        <v>7</v>
      </c>
      <c r="B8" t="s">
        <v>409</v>
      </c>
      <c r="C8" t="s">
        <v>352</v>
      </c>
      <c r="D8" t="s">
        <v>439</v>
      </c>
      <c r="E8" t="s">
        <v>461</v>
      </c>
      <c r="F8">
        <v>24141</v>
      </c>
      <c r="G8">
        <v>99.962732919254606</v>
      </c>
      <c r="H8" s="1" t="s">
        <v>410</v>
      </c>
      <c r="I8" s="14">
        <v>1</v>
      </c>
    </row>
    <row r="9" spans="1:9" ht="30" x14ac:dyDescent="0.25">
      <c r="A9">
        <v>8</v>
      </c>
      <c r="B9" t="s">
        <v>412</v>
      </c>
      <c r="C9" t="s">
        <v>352</v>
      </c>
      <c r="D9" t="s">
        <v>439</v>
      </c>
      <c r="E9" t="s">
        <v>414</v>
      </c>
      <c r="F9">
        <v>24141</v>
      </c>
      <c r="G9">
        <v>99.962732919254606</v>
      </c>
      <c r="H9" s="1" t="s">
        <v>413</v>
      </c>
      <c r="I9" s="14">
        <v>1</v>
      </c>
    </row>
    <row r="10" spans="1:9" x14ac:dyDescent="0.25">
      <c r="A10">
        <v>9</v>
      </c>
      <c r="B10" t="s">
        <v>45</v>
      </c>
      <c r="C10" t="s">
        <v>47</v>
      </c>
      <c r="D10" t="s">
        <v>439</v>
      </c>
      <c r="E10" t="s">
        <v>48</v>
      </c>
      <c r="F10">
        <v>19509</v>
      </c>
      <c r="G10">
        <v>80.782608695652101</v>
      </c>
      <c r="H10" s="1" t="s">
        <v>46</v>
      </c>
      <c r="I10" s="14">
        <v>1</v>
      </c>
    </row>
    <row r="11" spans="1:9" x14ac:dyDescent="0.25">
      <c r="A11">
        <v>10</v>
      </c>
      <c r="B11" t="s">
        <v>49</v>
      </c>
      <c r="C11" t="s">
        <v>47</v>
      </c>
      <c r="D11" t="s">
        <v>439</v>
      </c>
      <c r="E11" t="s">
        <v>51</v>
      </c>
      <c r="F11">
        <v>19348</v>
      </c>
      <c r="G11">
        <v>80.115942028985501</v>
      </c>
      <c r="H11" s="1" t="s">
        <v>50</v>
      </c>
      <c r="I11" s="14">
        <v>0</v>
      </c>
    </row>
    <row r="12" spans="1:9" x14ac:dyDescent="0.25">
      <c r="A12">
        <v>11</v>
      </c>
      <c r="B12" t="s">
        <v>55</v>
      </c>
      <c r="C12" t="s">
        <v>47</v>
      </c>
      <c r="D12" t="s">
        <v>439</v>
      </c>
      <c r="E12" t="s">
        <v>56</v>
      </c>
      <c r="F12">
        <v>19509</v>
      </c>
      <c r="G12">
        <v>80.782608695652101</v>
      </c>
      <c r="H12" s="1" t="s">
        <v>419</v>
      </c>
      <c r="I12" s="14">
        <v>1</v>
      </c>
    </row>
    <row r="13" spans="1:9" ht="30" x14ac:dyDescent="0.25">
      <c r="A13">
        <v>12</v>
      </c>
      <c r="B13" t="s">
        <v>52</v>
      </c>
      <c r="C13" t="s">
        <v>47</v>
      </c>
      <c r="D13" t="s">
        <v>439</v>
      </c>
      <c r="E13" t="s">
        <v>54</v>
      </c>
      <c r="F13">
        <v>11357</v>
      </c>
      <c r="G13">
        <v>47.026915113871603</v>
      </c>
      <c r="H13" s="1" t="s">
        <v>53</v>
      </c>
      <c r="I13" s="14">
        <v>0</v>
      </c>
    </row>
    <row r="14" spans="1:9" ht="30" x14ac:dyDescent="0.25">
      <c r="A14">
        <v>13</v>
      </c>
      <c r="B14" t="s">
        <v>66</v>
      </c>
      <c r="C14" t="s">
        <v>47</v>
      </c>
      <c r="D14" t="s">
        <v>439</v>
      </c>
      <c r="E14" t="s">
        <v>36</v>
      </c>
      <c r="F14">
        <v>786</v>
      </c>
      <c r="G14">
        <v>3.2546583850931601</v>
      </c>
      <c r="H14" s="1" t="s">
        <v>67</v>
      </c>
      <c r="I14" s="14">
        <v>0</v>
      </c>
    </row>
    <row r="15" spans="1:9" x14ac:dyDescent="0.25">
      <c r="A15">
        <v>14</v>
      </c>
      <c r="B15" t="s">
        <v>13</v>
      </c>
      <c r="C15" t="s">
        <v>15</v>
      </c>
      <c r="D15" t="s">
        <v>439</v>
      </c>
      <c r="E15" t="s">
        <v>16</v>
      </c>
      <c r="F15">
        <v>20631</v>
      </c>
      <c r="G15">
        <v>85.428571428571402</v>
      </c>
      <c r="H15" s="1" t="s">
        <v>14</v>
      </c>
      <c r="I15" s="14">
        <v>1</v>
      </c>
    </row>
    <row r="16" spans="1:9" x14ac:dyDescent="0.25">
      <c r="A16">
        <v>15</v>
      </c>
      <c r="B16" t="s">
        <v>31</v>
      </c>
      <c r="C16" t="s">
        <v>15</v>
      </c>
      <c r="D16" t="s">
        <v>439</v>
      </c>
      <c r="E16" t="s">
        <v>462</v>
      </c>
      <c r="F16">
        <v>20631</v>
      </c>
      <c r="G16">
        <v>85.428571428571402</v>
      </c>
      <c r="H16" s="1" t="s">
        <v>32</v>
      </c>
      <c r="I16" s="14">
        <v>0</v>
      </c>
    </row>
    <row r="17" spans="1:9" ht="30" x14ac:dyDescent="0.25">
      <c r="A17">
        <v>16</v>
      </c>
      <c r="B17" t="s">
        <v>69</v>
      </c>
      <c r="C17" t="s">
        <v>47</v>
      </c>
      <c r="D17" t="s">
        <v>439</v>
      </c>
      <c r="E17" t="s">
        <v>70</v>
      </c>
      <c r="F17">
        <v>19509</v>
      </c>
      <c r="G17">
        <v>80.782608695652101</v>
      </c>
      <c r="H17" s="1" t="s">
        <v>415</v>
      </c>
      <c r="I17" s="14">
        <v>0</v>
      </c>
    </row>
    <row r="18" spans="1:9" ht="45" x14ac:dyDescent="0.25">
      <c r="A18">
        <v>17</v>
      </c>
      <c r="B18" t="s">
        <v>63</v>
      </c>
      <c r="C18" t="s">
        <v>15</v>
      </c>
      <c r="D18" t="s">
        <v>439</v>
      </c>
      <c r="E18" t="s">
        <v>65</v>
      </c>
      <c r="F18">
        <v>19348</v>
      </c>
      <c r="G18">
        <v>80.115942028985501</v>
      </c>
      <c r="H18" s="1" t="s">
        <v>64</v>
      </c>
      <c r="I18" s="14">
        <v>1</v>
      </c>
    </row>
    <row r="19" spans="1:9" x14ac:dyDescent="0.25">
      <c r="A19">
        <v>18</v>
      </c>
      <c r="B19" t="s">
        <v>61</v>
      </c>
      <c r="C19" t="s">
        <v>15</v>
      </c>
      <c r="D19" t="s">
        <v>439</v>
      </c>
      <c r="E19" t="s">
        <v>36</v>
      </c>
      <c r="F19">
        <v>637</v>
      </c>
      <c r="G19">
        <v>2.63768115942029</v>
      </c>
      <c r="H19" s="1" t="s">
        <v>62</v>
      </c>
      <c r="I19" s="14">
        <v>1</v>
      </c>
    </row>
    <row r="20" spans="1:9" x14ac:dyDescent="0.25">
      <c r="A20">
        <v>19</v>
      </c>
      <c r="B20" t="s">
        <v>37</v>
      </c>
      <c r="C20" t="s">
        <v>15</v>
      </c>
      <c r="D20" t="s">
        <v>439</v>
      </c>
      <c r="E20" t="s">
        <v>36</v>
      </c>
      <c r="F20">
        <v>6621</v>
      </c>
      <c r="G20">
        <v>27.416149068322898</v>
      </c>
      <c r="H20" s="1" t="s">
        <v>38</v>
      </c>
      <c r="I20" s="14">
        <v>1</v>
      </c>
    </row>
    <row r="21" spans="1:9" x14ac:dyDescent="0.25">
      <c r="A21">
        <v>20</v>
      </c>
      <c r="B21" t="s">
        <v>57</v>
      </c>
      <c r="C21" t="s">
        <v>15</v>
      </c>
      <c r="D21" t="s">
        <v>439</v>
      </c>
      <c r="E21" t="s">
        <v>36</v>
      </c>
      <c r="F21">
        <v>20468</v>
      </c>
      <c r="G21">
        <v>84.753623188405797</v>
      </c>
      <c r="H21" s="1" t="s">
        <v>58</v>
      </c>
      <c r="I21" s="14">
        <v>1</v>
      </c>
    </row>
    <row r="22" spans="1:9" x14ac:dyDescent="0.25">
      <c r="A22">
        <v>21</v>
      </c>
      <c r="B22" t="s">
        <v>28</v>
      </c>
      <c r="C22" t="s">
        <v>15</v>
      </c>
      <c r="D22" t="s">
        <v>439</v>
      </c>
      <c r="E22" t="s">
        <v>463</v>
      </c>
      <c r="F22">
        <v>20631</v>
      </c>
      <c r="G22">
        <v>85.428571428571402</v>
      </c>
      <c r="H22" s="1" t="s">
        <v>29</v>
      </c>
      <c r="I22" s="14">
        <v>0</v>
      </c>
    </row>
    <row r="23" spans="1:9" x14ac:dyDescent="0.25">
      <c r="A23">
        <v>22</v>
      </c>
      <c r="B23" t="s">
        <v>20</v>
      </c>
      <c r="C23" t="s">
        <v>15</v>
      </c>
      <c r="D23" t="s">
        <v>439</v>
      </c>
      <c r="E23" t="s">
        <v>464</v>
      </c>
      <c r="F23">
        <v>20631</v>
      </c>
      <c r="G23">
        <v>85.428571428571402</v>
      </c>
      <c r="H23" s="1" t="s">
        <v>21</v>
      </c>
      <c r="I23" s="14">
        <v>1</v>
      </c>
    </row>
    <row r="24" spans="1:9" x14ac:dyDescent="0.25">
      <c r="A24">
        <v>23</v>
      </c>
      <c r="B24" t="s">
        <v>39</v>
      </c>
      <c r="C24" t="s">
        <v>15</v>
      </c>
      <c r="D24" t="s">
        <v>439</v>
      </c>
      <c r="E24" t="s">
        <v>465</v>
      </c>
      <c r="F24">
        <v>20631</v>
      </c>
      <c r="G24">
        <v>85.428571428571402</v>
      </c>
      <c r="H24" s="1" t="s">
        <v>40</v>
      </c>
      <c r="I24" s="14">
        <v>1</v>
      </c>
    </row>
    <row r="25" spans="1:9" ht="30" x14ac:dyDescent="0.25">
      <c r="A25">
        <v>24</v>
      </c>
      <c r="B25" t="s">
        <v>59</v>
      </c>
      <c r="C25" t="s">
        <v>15</v>
      </c>
      <c r="D25" t="s">
        <v>439</v>
      </c>
      <c r="E25" t="s">
        <v>36</v>
      </c>
      <c r="F25">
        <v>5957</v>
      </c>
      <c r="G25">
        <v>24.6666666666666</v>
      </c>
      <c r="H25" s="1" t="s">
        <v>60</v>
      </c>
      <c r="I25" s="14">
        <v>1</v>
      </c>
    </row>
    <row r="26" spans="1:9" x14ac:dyDescent="0.25">
      <c r="A26">
        <v>25</v>
      </c>
      <c r="B26" t="s">
        <v>26</v>
      </c>
      <c r="C26" t="s">
        <v>15</v>
      </c>
      <c r="D26" t="s">
        <v>439</v>
      </c>
      <c r="E26" t="s">
        <v>464</v>
      </c>
      <c r="F26">
        <v>20631</v>
      </c>
      <c r="G26">
        <v>85.428571428571402</v>
      </c>
      <c r="H26" s="1" t="s">
        <v>27</v>
      </c>
      <c r="I26" s="14">
        <v>0</v>
      </c>
    </row>
    <row r="27" spans="1:9" x14ac:dyDescent="0.25">
      <c r="A27">
        <v>26</v>
      </c>
      <c r="B27" t="s">
        <v>34</v>
      </c>
      <c r="C27" t="s">
        <v>15</v>
      </c>
      <c r="D27" t="s">
        <v>439</v>
      </c>
      <c r="E27" t="s">
        <v>36</v>
      </c>
      <c r="F27">
        <v>19721</v>
      </c>
      <c r="G27">
        <v>81.660455486542403</v>
      </c>
      <c r="H27" s="1" t="s">
        <v>35</v>
      </c>
      <c r="I27" s="14">
        <v>1</v>
      </c>
    </row>
    <row r="28" spans="1:9" x14ac:dyDescent="0.25">
      <c r="A28">
        <v>27</v>
      </c>
      <c r="B28" t="s">
        <v>23</v>
      </c>
      <c r="C28" t="s">
        <v>15</v>
      </c>
      <c r="D28" t="s">
        <v>439</v>
      </c>
      <c r="E28" t="s">
        <v>25</v>
      </c>
      <c r="F28">
        <v>19578</v>
      </c>
      <c r="G28">
        <v>81.068322981366407</v>
      </c>
      <c r="H28" s="1" t="s">
        <v>24</v>
      </c>
      <c r="I28" s="14">
        <v>1</v>
      </c>
    </row>
    <row r="29" spans="1:9" x14ac:dyDescent="0.25">
      <c r="A29">
        <v>28</v>
      </c>
      <c r="B29" t="s">
        <v>42</v>
      </c>
      <c r="C29" t="s">
        <v>15</v>
      </c>
      <c r="D29" t="s">
        <v>439</v>
      </c>
      <c r="E29" t="s">
        <v>466</v>
      </c>
      <c r="F29">
        <v>19578</v>
      </c>
      <c r="G29">
        <v>81.068322981366407</v>
      </c>
      <c r="H29" s="1" t="s">
        <v>43</v>
      </c>
      <c r="I29" s="14">
        <v>0</v>
      </c>
    </row>
    <row r="30" spans="1:9" x14ac:dyDescent="0.25">
      <c r="A30">
        <v>29</v>
      </c>
      <c r="B30" t="s">
        <v>17</v>
      </c>
      <c r="C30" t="s">
        <v>15</v>
      </c>
      <c r="D30" t="s">
        <v>439</v>
      </c>
      <c r="E30" t="s">
        <v>467</v>
      </c>
      <c r="F30">
        <v>20631</v>
      </c>
      <c r="G30">
        <v>85.428571428571402</v>
      </c>
      <c r="H30" s="1" t="s">
        <v>18</v>
      </c>
      <c r="I30" s="14">
        <v>1</v>
      </c>
    </row>
    <row r="31" spans="1:9" ht="30" x14ac:dyDescent="0.25">
      <c r="A31">
        <v>30</v>
      </c>
      <c r="B31" t="s">
        <v>311</v>
      </c>
      <c r="C31" t="s">
        <v>294</v>
      </c>
      <c r="D31" t="s">
        <v>439</v>
      </c>
      <c r="E31" t="s">
        <v>313</v>
      </c>
      <c r="F31">
        <v>23895</v>
      </c>
      <c r="G31">
        <v>98.944099378881901</v>
      </c>
      <c r="H31" s="1" t="s">
        <v>312</v>
      </c>
      <c r="I31" s="14">
        <v>1</v>
      </c>
    </row>
    <row r="32" spans="1:9" ht="30" x14ac:dyDescent="0.25">
      <c r="A32">
        <v>31</v>
      </c>
      <c r="B32" t="s">
        <v>292</v>
      </c>
      <c r="C32" t="s">
        <v>294</v>
      </c>
      <c r="D32" t="s">
        <v>439</v>
      </c>
      <c r="E32" t="s">
        <v>468</v>
      </c>
      <c r="F32">
        <v>23910</v>
      </c>
      <c r="G32">
        <v>99.006211180124197</v>
      </c>
      <c r="H32" s="1" t="s">
        <v>293</v>
      </c>
      <c r="I32" s="14">
        <v>1</v>
      </c>
    </row>
    <row r="33" spans="1:9" ht="30" x14ac:dyDescent="0.25">
      <c r="A33">
        <v>32</v>
      </c>
      <c r="B33" t="s">
        <v>320</v>
      </c>
      <c r="C33" t="s">
        <v>294</v>
      </c>
      <c r="D33" t="s">
        <v>439</v>
      </c>
      <c r="E33" t="s">
        <v>322</v>
      </c>
      <c r="F33">
        <v>23932</v>
      </c>
      <c r="G33">
        <v>99.097308488612796</v>
      </c>
      <c r="H33" s="1" t="s">
        <v>321</v>
      </c>
      <c r="I33" s="14">
        <v>1</v>
      </c>
    </row>
    <row r="34" spans="1:9" ht="30" x14ac:dyDescent="0.25">
      <c r="A34">
        <v>33</v>
      </c>
      <c r="B34" t="s">
        <v>323</v>
      </c>
      <c r="C34" t="s">
        <v>294</v>
      </c>
      <c r="D34" t="s">
        <v>439</v>
      </c>
      <c r="E34" t="s">
        <v>325</v>
      </c>
      <c r="F34">
        <v>8300</v>
      </c>
      <c r="G34">
        <v>34.368530020703901</v>
      </c>
      <c r="H34" s="1" t="s">
        <v>324</v>
      </c>
      <c r="I34" s="14">
        <v>1</v>
      </c>
    </row>
    <row r="35" spans="1:9" ht="30" x14ac:dyDescent="0.25">
      <c r="A35">
        <v>34</v>
      </c>
      <c r="B35" t="s">
        <v>454</v>
      </c>
      <c r="C35" t="s">
        <v>294</v>
      </c>
      <c r="D35" t="s">
        <v>439</v>
      </c>
      <c r="E35" t="s">
        <v>469</v>
      </c>
      <c r="F35">
        <v>23607</v>
      </c>
      <c r="G35">
        <v>97.751552795031003</v>
      </c>
      <c r="H35" s="1" t="s">
        <v>451</v>
      </c>
      <c r="I35" s="14">
        <v>1</v>
      </c>
    </row>
    <row r="36" spans="1:9" x14ac:dyDescent="0.25">
      <c r="A36">
        <v>35</v>
      </c>
      <c r="B36" t="s">
        <v>455</v>
      </c>
      <c r="C36" t="s">
        <v>294</v>
      </c>
      <c r="D36" t="s">
        <v>439</v>
      </c>
      <c r="E36" t="s">
        <v>470</v>
      </c>
      <c r="F36">
        <v>23895</v>
      </c>
      <c r="G36">
        <v>98.944099378881901</v>
      </c>
      <c r="H36" s="1" t="s">
        <v>452</v>
      </c>
      <c r="I36" s="14">
        <v>1</v>
      </c>
    </row>
    <row r="37" spans="1:9" ht="30" x14ac:dyDescent="0.25">
      <c r="A37">
        <v>36</v>
      </c>
      <c r="B37" t="s">
        <v>456</v>
      </c>
      <c r="C37" t="s">
        <v>294</v>
      </c>
      <c r="D37" t="s">
        <v>439</v>
      </c>
      <c r="E37" t="s">
        <v>471</v>
      </c>
      <c r="F37">
        <v>23895</v>
      </c>
      <c r="G37">
        <v>98.944099378881901</v>
      </c>
      <c r="H37" s="1" t="s">
        <v>453</v>
      </c>
      <c r="I37" s="14">
        <v>1</v>
      </c>
    </row>
    <row r="38" spans="1:9" x14ac:dyDescent="0.25">
      <c r="A38">
        <v>37</v>
      </c>
      <c r="B38" t="s">
        <v>457</v>
      </c>
      <c r="C38" t="s">
        <v>294</v>
      </c>
      <c r="D38" t="s">
        <v>439</v>
      </c>
      <c r="E38" t="s">
        <v>472</v>
      </c>
      <c r="F38">
        <v>22953</v>
      </c>
      <c r="G38">
        <v>95.043478260869506</v>
      </c>
      <c r="H38" s="1" t="s">
        <v>449</v>
      </c>
      <c r="I38" s="14">
        <v>1</v>
      </c>
    </row>
    <row r="39" spans="1:9" x14ac:dyDescent="0.25">
      <c r="A39">
        <v>38</v>
      </c>
      <c r="B39" t="s">
        <v>458</v>
      </c>
      <c r="C39" t="s">
        <v>294</v>
      </c>
      <c r="D39" t="s">
        <v>439</v>
      </c>
      <c r="E39" t="s">
        <v>473</v>
      </c>
      <c r="F39">
        <v>23910</v>
      </c>
      <c r="G39">
        <v>99.006211180124197</v>
      </c>
      <c r="H39" s="1" t="s">
        <v>450</v>
      </c>
      <c r="I39" s="14">
        <v>1</v>
      </c>
    </row>
    <row r="40" spans="1:9" ht="30" x14ac:dyDescent="0.25">
      <c r="A40">
        <v>39</v>
      </c>
      <c r="B40" t="s">
        <v>347</v>
      </c>
      <c r="C40" t="s">
        <v>294</v>
      </c>
      <c r="D40" t="s">
        <v>439</v>
      </c>
      <c r="E40" t="s">
        <v>349</v>
      </c>
      <c r="F40">
        <v>23895</v>
      </c>
      <c r="G40">
        <v>98.944099378881901</v>
      </c>
      <c r="H40" s="1" t="s">
        <v>348</v>
      </c>
      <c r="I40" s="14">
        <v>1</v>
      </c>
    </row>
    <row r="41" spans="1:9" ht="30" x14ac:dyDescent="0.25">
      <c r="A41">
        <v>40</v>
      </c>
      <c r="B41" t="s">
        <v>428</v>
      </c>
      <c r="C41" t="s">
        <v>174</v>
      </c>
      <c r="D41" t="s">
        <v>439</v>
      </c>
      <c r="E41" t="s">
        <v>474</v>
      </c>
      <c r="F41">
        <v>3915</v>
      </c>
      <c r="G41">
        <v>16.211180124223599</v>
      </c>
      <c r="H41" s="1" t="s">
        <v>432</v>
      </c>
      <c r="I41" s="14">
        <v>0</v>
      </c>
    </row>
    <row r="42" spans="1:9" ht="30" x14ac:dyDescent="0.25">
      <c r="A42">
        <v>41</v>
      </c>
      <c r="B42" t="s">
        <v>429</v>
      </c>
      <c r="C42" t="s">
        <v>174</v>
      </c>
      <c r="D42" t="s">
        <v>439</v>
      </c>
      <c r="E42" t="s">
        <v>475</v>
      </c>
      <c r="F42">
        <v>3915</v>
      </c>
      <c r="G42">
        <v>16.211180124223599</v>
      </c>
      <c r="H42" s="1" t="s">
        <v>433</v>
      </c>
      <c r="I42" s="14">
        <v>1</v>
      </c>
    </row>
    <row r="43" spans="1:9" ht="30" x14ac:dyDescent="0.25">
      <c r="A43">
        <v>42</v>
      </c>
      <c r="B43" t="s">
        <v>248</v>
      </c>
      <c r="C43" t="s">
        <v>174</v>
      </c>
      <c r="D43" t="s">
        <v>439</v>
      </c>
      <c r="E43" t="s">
        <v>250</v>
      </c>
      <c r="F43">
        <v>3627</v>
      </c>
      <c r="G43">
        <v>15.018633540372599</v>
      </c>
      <c r="H43" s="1" t="s">
        <v>249</v>
      </c>
      <c r="I43" s="14">
        <v>0</v>
      </c>
    </row>
    <row r="44" spans="1:9" x14ac:dyDescent="0.25">
      <c r="A44">
        <v>43</v>
      </c>
      <c r="B44" t="s">
        <v>172</v>
      </c>
      <c r="C44" t="s">
        <v>174</v>
      </c>
      <c r="D44" t="s">
        <v>439</v>
      </c>
      <c r="E44" t="s">
        <v>476</v>
      </c>
      <c r="F44">
        <v>3627</v>
      </c>
      <c r="G44">
        <v>15.018633540372599</v>
      </c>
      <c r="H44" s="1" t="s">
        <v>173</v>
      </c>
      <c r="I44" s="14">
        <v>1</v>
      </c>
    </row>
    <row r="45" spans="1:9" ht="30" x14ac:dyDescent="0.25">
      <c r="A45">
        <v>44</v>
      </c>
      <c r="B45" t="s">
        <v>227</v>
      </c>
      <c r="C45" t="s">
        <v>174</v>
      </c>
      <c r="D45" t="s">
        <v>439</v>
      </c>
      <c r="E45" t="s">
        <v>36</v>
      </c>
      <c r="F45">
        <v>3627</v>
      </c>
      <c r="G45">
        <v>15.018633540372599</v>
      </c>
      <c r="H45" s="1" t="s">
        <v>228</v>
      </c>
      <c r="I45" s="14">
        <v>1</v>
      </c>
    </row>
    <row r="46" spans="1:9" ht="30" x14ac:dyDescent="0.25">
      <c r="A46">
        <v>45</v>
      </c>
      <c r="B46" t="s">
        <v>200</v>
      </c>
      <c r="C46" t="s">
        <v>174</v>
      </c>
      <c r="D46" t="s">
        <v>439</v>
      </c>
      <c r="E46" t="s">
        <v>477</v>
      </c>
      <c r="F46">
        <v>3627</v>
      </c>
      <c r="G46">
        <v>15.018633540372599</v>
      </c>
      <c r="H46" s="1" t="s">
        <v>201</v>
      </c>
      <c r="I46" s="14">
        <v>0</v>
      </c>
    </row>
    <row r="47" spans="1:9" x14ac:dyDescent="0.25">
      <c r="A47">
        <v>46</v>
      </c>
      <c r="B47" t="s">
        <v>274</v>
      </c>
      <c r="C47" t="s">
        <v>174</v>
      </c>
      <c r="D47" t="s">
        <v>439</v>
      </c>
      <c r="E47" t="s">
        <v>478</v>
      </c>
      <c r="F47">
        <v>6906</v>
      </c>
      <c r="G47">
        <v>28.596273291925399</v>
      </c>
      <c r="H47" s="1" t="s">
        <v>275</v>
      </c>
      <c r="I47" s="14">
        <v>1</v>
      </c>
    </row>
    <row r="48" spans="1:9" ht="30" x14ac:dyDescent="0.25">
      <c r="A48">
        <v>47</v>
      </c>
      <c r="B48" t="s">
        <v>251</v>
      </c>
      <c r="C48" t="s">
        <v>174</v>
      </c>
      <c r="D48" t="s">
        <v>439</v>
      </c>
      <c r="E48" t="s">
        <v>247</v>
      </c>
      <c r="F48">
        <v>1139</v>
      </c>
      <c r="G48">
        <v>4.7163561076604497</v>
      </c>
      <c r="H48" s="1" t="s">
        <v>252</v>
      </c>
      <c r="I48" s="14">
        <v>0</v>
      </c>
    </row>
    <row r="49" spans="1:9" x14ac:dyDescent="0.25">
      <c r="A49">
        <v>48</v>
      </c>
      <c r="B49" t="s">
        <v>176</v>
      </c>
      <c r="C49" t="s">
        <v>174</v>
      </c>
      <c r="D49" t="s">
        <v>439</v>
      </c>
      <c r="E49" t="s">
        <v>184</v>
      </c>
      <c r="F49">
        <v>1139</v>
      </c>
      <c r="G49">
        <v>4.7163561076604497</v>
      </c>
      <c r="H49" s="1" t="s">
        <v>177</v>
      </c>
      <c r="I49" s="14">
        <v>0</v>
      </c>
    </row>
    <row r="50" spans="1:9" ht="30" x14ac:dyDescent="0.25">
      <c r="A50">
        <v>49</v>
      </c>
      <c r="B50" t="s">
        <v>229</v>
      </c>
      <c r="C50" t="s">
        <v>174</v>
      </c>
      <c r="D50" t="s">
        <v>439</v>
      </c>
      <c r="E50" t="s">
        <v>36</v>
      </c>
      <c r="F50">
        <v>1139</v>
      </c>
      <c r="G50">
        <v>4.7163561076604497</v>
      </c>
      <c r="H50" s="1" t="s">
        <v>230</v>
      </c>
      <c r="I50" s="14">
        <v>0</v>
      </c>
    </row>
    <row r="51" spans="1:9" x14ac:dyDescent="0.25">
      <c r="A51">
        <v>50</v>
      </c>
      <c r="B51" t="s">
        <v>203</v>
      </c>
      <c r="C51" t="s">
        <v>174</v>
      </c>
      <c r="D51" t="s">
        <v>439</v>
      </c>
      <c r="E51" t="s">
        <v>479</v>
      </c>
      <c r="F51">
        <v>1139</v>
      </c>
      <c r="G51">
        <v>4.7163561076604497</v>
      </c>
      <c r="H51" s="1" t="s">
        <v>204</v>
      </c>
      <c r="I51" s="14">
        <v>0</v>
      </c>
    </row>
    <row r="52" spans="1:9" ht="30" x14ac:dyDescent="0.25">
      <c r="A52">
        <v>51</v>
      </c>
      <c r="B52" t="s">
        <v>253</v>
      </c>
      <c r="C52" t="s">
        <v>174</v>
      </c>
      <c r="D52" t="s">
        <v>439</v>
      </c>
      <c r="E52" t="s">
        <v>255</v>
      </c>
      <c r="F52">
        <v>526</v>
      </c>
      <c r="G52">
        <v>2.1780538302277401</v>
      </c>
      <c r="H52" s="1" t="s">
        <v>254</v>
      </c>
      <c r="I52" s="14">
        <v>0</v>
      </c>
    </row>
    <row r="53" spans="1:9" x14ac:dyDescent="0.25">
      <c r="A53">
        <v>52</v>
      </c>
      <c r="B53" t="s">
        <v>179</v>
      </c>
      <c r="C53" t="s">
        <v>174</v>
      </c>
      <c r="D53" t="s">
        <v>439</v>
      </c>
      <c r="E53" t="s">
        <v>480</v>
      </c>
      <c r="F53">
        <v>526</v>
      </c>
      <c r="G53">
        <v>2.1780538302277401</v>
      </c>
      <c r="H53" s="1" t="s">
        <v>180</v>
      </c>
      <c r="I53" s="14">
        <v>1</v>
      </c>
    </row>
    <row r="54" spans="1:9" x14ac:dyDescent="0.25">
      <c r="A54">
        <v>53</v>
      </c>
      <c r="B54" t="s">
        <v>232</v>
      </c>
      <c r="C54" t="s">
        <v>174</v>
      </c>
      <c r="D54" t="s">
        <v>439</v>
      </c>
      <c r="E54" t="s">
        <v>231</v>
      </c>
      <c r="F54">
        <v>526</v>
      </c>
      <c r="G54">
        <v>2.1780538302277401</v>
      </c>
      <c r="H54" s="1" t="s">
        <v>233</v>
      </c>
      <c r="I54" s="14">
        <v>0</v>
      </c>
    </row>
    <row r="55" spans="1:9" x14ac:dyDescent="0.25">
      <c r="A55">
        <v>54</v>
      </c>
      <c r="B55" t="s">
        <v>206</v>
      </c>
      <c r="C55" t="s">
        <v>174</v>
      </c>
      <c r="D55" t="s">
        <v>439</v>
      </c>
      <c r="E55" t="s">
        <v>481</v>
      </c>
      <c r="F55">
        <v>526</v>
      </c>
      <c r="G55">
        <v>2.1780538302277401</v>
      </c>
      <c r="H55" s="1" t="s">
        <v>207</v>
      </c>
      <c r="I55" s="14">
        <v>0</v>
      </c>
    </row>
    <row r="56" spans="1:9" ht="30" x14ac:dyDescent="0.25">
      <c r="A56">
        <v>55</v>
      </c>
      <c r="B56" t="s">
        <v>256</v>
      </c>
      <c r="C56" t="s">
        <v>174</v>
      </c>
      <c r="D56" t="s">
        <v>439</v>
      </c>
      <c r="E56" t="s">
        <v>250</v>
      </c>
      <c r="F56">
        <v>784</v>
      </c>
      <c r="G56">
        <v>3.2463768115942</v>
      </c>
      <c r="H56" s="1" t="s">
        <v>257</v>
      </c>
      <c r="I56" s="14">
        <v>0</v>
      </c>
    </row>
    <row r="57" spans="1:9" x14ac:dyDescent="0.25">
      <c r="A57">
        <v>56</v>
      </c>
      <c r="B57" t="s">
        <v>182</v>
      </c>
      <c r="C57" t="s">
        <v>174</v>
      </c>
      <c r="D57" t="s">
        <v>439</v>
      </c>
      <c r="E57" t="s">
        <v>482</v>
      </c>
      <c r="F57">
        <v>784</v>
      </c>
      <c r="G57">
        <v>3.2463768115942</v>
      </c>
      <c r="H57" s="1" t="s">
        <v>183</v>
      </c>
      <c r="I57" s="14">
        <v>1</v>
      </c>
    </row>
    <row r="58" spans="1:9" ht="30" x14ac:dyDescent="0.25">
      <c r="A58">
        <v>57</v>
      </c>
      <c r="B58" t="s">
        <v>234</v>
      </c>
      <c r="C58" t="s">
        <v>174</v>
      </c>
      <c r="D58" t="s">
        <v>439</v>
      </c>
      <c r="E58" t="s">
        <v>36</v>
      </c>
      <c r="F58">
        <v>784</v>
      </c>
      <c r="G58">
        <v>3.2463768115942</v>
      </c>
      <c r="H58" s="1" t="s">
        <v>235</v>
      </c>
      <c r="I58" s="14">
        <v>0</v>
      </c>
    </row>
    <row r="59" spans="1:9" x14ac:dyDescent="0.25">
      <c r="A59">
        <v>58</v>
      </c>
      <c r="B59" t="s">
        <v>209</v>
      </c>
      <c r="C59" t="s">
        <v>174</v>
      </c>
      <c r="D59" t="s">
        <v>439</v>
      </c>
      <c r="E59" t="s">
        <v>483</v>
      </c>
      <c r="F59">
        <v>784</v>
      </c>
      <c r="G59">
        <v>3.2463768115942</v>
      </c>
      <c r="H59" s="1" t="s">
        <v>210</v>
      </c>
      <c r="I59" s="14">
        <v>0</v>
      </c>
    </row>
    <row r="60" spans="1:9" ht="45" x14ac:dyDescent="0.25">
      <c r="A60">
        <v>59</v>
      </c>
      <c r="B60" t="s">
        <v>430</v>
      </c>
      <c r="C60" t="s">
        <v>174</v>
      </c>
      <c r="D60" t="s">
        <v>439</v>
      </c>
      <c r="E60" t="s">
        <v>484</v>
      </c>
      <c r="F60">
        <v>11032</v>
      </c>
      <c r="G60">
        <v>45.681159420289802</v>
      </c>
      <c r="H60" s="1" t="s">
        <v>434</v>
      </c>
      <c r="I60" s="14">
        <v>1</v>
      </c>
    </row>
    <row r="61" spans="1:9" ht="45" x14ac:dyDescent="0.25">
      <c r="A61">
        <v>60</v>
      </c>
      <c r="B61" t="s">
        <v>425</v>
      </c>
      <c r="C61" t="s">
        <v>174</v>
      </c>
      <c r="D61" t="s">
        <v>439</v>
      </c>
      <c r="E61" t="s">
        <v>485</v>
      </c>
      <c r="F61">
        <v>11032</v>
      </c>
      <c r="G61">
        <v>45.681159420289802</v>
      </c>
      <c r="H61" s="1" t="s">
        <v>427</v>
      </c>
      <c r="I61" s="14">
        <v>0</v>
      </c>
    </row>
    <row r="62" spans="1:9" ht="30" x14ac:dyDescent="0.25">
      <c r="A62">
        <v>61</v>
      </c>
      <c r="B62" t="s">
        <v>286</v>
      </c>
      <c r="C62" t="s">
        <v>174</v>
      </c>
      <c r="D62" t="s">
        <v>439</v>
      </c>
      <c r="E62" t="s">
        <v>486</v>
      </c>
      <c r="F62">
        <v>10594</v>
      </c>
      <c r="G62">
        <v>43.867494824016497</v>
      </c>
      <c r="H62" s="1" t="s">
        <v>287</v>
      </c>
      <c r="I62" s="14">
        <v>1</v>
      </c>
    </row>
    <row r="63" spans="1:9" x14ac:dyDescent="0.25">
      <c r="A63">
        <v>62</v>
      </c>
      <c r="B63" t="s">
        <v>280</v>
      </c>
      <c r="C63" t="s">
        <v>174</v>
      </c>
      <c r="D63" t="s">
        <v>439</v>
      </c>
      <c r="E63" t="s">
        <v>282</v>
      </c>
      <c r="F63">
        <v>15481</v>
      </c>
      <c r="G63">
        <v>64.103519668736993</v>
      </c>
      <c r="H63" s="1" t="s">
        <v>281</v>
      </c>
      <c r="I63" s="14">
        <v>0</v>
      </c>
    </row>
    <row r="64" spans="1:9" ht="30" x14ac:dyDescent="0.25">
      <c r="A64">
        <v>63</v>
      </c>
      <c r="B64" t="s">
        <v>289</v>
      </c>
      <c r="C64" t="s">
        <v>174</v>
      </c>
      <c r="D64" t="s">
        <v>439</v>
      </c>
      <c r="E64" t="s">
        <v>56</v>
      </c>
      <c r="F64">
        <v>774</v>
      </c>
      <c r="G64">
        <v>3.2049689440993698</v>
      </c>
      <c r="H64" s="1" t="s">
        <v>290</v>
      </c>
      <c r="I64" s="14">
        <v>1</v>
      </c>
    </row>
    <row r="65" spans="1:9" x14ac:dyDescent="0.25">
      <c r="A65">
        <v>64</v>
      </c>
      <c r="B65" t="s">
        <v>283</v>
      </c>
      <c r="C65" t="s">
        <v>174</v>
      </c>
      <c r="D65" t="s">
        <v>439</v>
      </c>
      <c r="E65" t="s">
        <v>487</v>
      </c>
      <c r="F65">
        <v>2800</v>
      </c>
      <c r="G65">
        <v>11.5942028985507</v>
      </c>
      <c r="H65" s="1" t="s">
        <v>284</v>
      </c>
      <c r="I65" s="14">
        <v>1</v>
      </c>
    </row>
    <row r="66" spans="1:9" x14ac:dyDescent="0.25">
      <c r="A66">
        <v>65</v>
      </c>
      <c r="B66" t="s">
        <v>277</v>
      </c>
      <c r="C66" t="s">
        <v>174</v>
      </c>
      <c r="D66" t="s">
        <v>439</v>
      </c>
      <c r="E66" t="s">
        <v>279</v>
      </c>
      <c r="F66">
        <v>15481</v>
      </c>
      <c r="G66">
        <v>64.103519668736993</v>
      </c>
      <c r="H66" s="1" t="s">
        <v>278</v>
      </c>
      <c r="I66" s="14">
        <v>1</v>
      </c>
    </row>
    <row r="67" spans="1:9" ht="30" x14ac:dyDescent="0.25">
      <c r="A67">
        <v>66</v>
      </c>
      <c r="B67" t="s">
        <v>258</v>
      </c>
      <c r="C67" t="s">
        <v>174</v>
      </c>
      <c r="D67" t="s">
        <v>439</v>
      </c>
      <c r="E67" t="s">
        <v>260</v>
      </c>
      <c r="F67">
        <v>732</v>
      </c>
      <c r="G67">
        <v>3.03105590062111</v>
      </c>
      <c r="H67" s="1" t="s">
        <v>259</v>
      </c>
      <c r="I67" s="14">
        <v>0</v>
      </c>
    </row>
    <row r="68" spans="1:9" ht="30" x14ac:dyDescent="0.25">
      <c r="A68">
        <v>67</v>
      </c>
      <c r="B68" t="s">
        <v>261</v>
      </c>
      <c r="C68" t="s">
        <v>174</v>
      </c>
      <c r="D68" t="s">
        <v>439</v>
      </c>
      <c r="E68" t="s">
        <v>263</v>
      </c>
      <c r="F68">
        <v>202</v>
      </c>
      <c r="G68">
        <v>0.83643892339544501</v>
      </c>
      <c r="H68" s="1" t="s">
        <v>262</v>
      </c>
      <c r="I68" s="14">
        <v>0</v>
      </c>
    </row>
    <row r="69" spans="1:9" x14ac:dyDescent="0.25">
      <c r="A69">
        <v>68</v>
      </c>
      <c r="B69" t="s">
        <v>188</v>
      </c>
      <c r="C69" t="s">
        <v>174</v>
      </c>
      <c r="D69" t="s">
        <v>439</v>
      </c>
      <c r="E69" t="s">
        <v>488</v>
      </c>
      <c r="F69">
        <v>202</v>
      </c>
      <c r="G69">
        <v>0.83643892339544501</v>
      </c>
      <c r="H69" s="1" t="s">
        <v>189</v>
      </c>
      <c r="I69" s="14">
        <v>1</v>
      </c>
    </row>
    <row r="70" spans="1:9" ht="30" x14ac:dyDescent="0.25">
      <c r="A70">
        <v>69</v>
      </c>
      <c r="B70" t="s">
        <v>238</v>
      </c>
      <c r="C70" t="s">
        <v>174</v>
      </c>
      <c r="D70" t="s">
        <v>439</v>
      </c>
      <c r="E70" t="s">
        <v>231</v>
      </c>
      <c r="F70">
        <v>202</v>
      </c>
      <c r="G70">
        <v>0.83643892339544501</v>
      </c>
      <c r="H70" s="1" t="s">
        <v>239</v>
      </c>
      <c r="I70" s="14">
        <v>0</v>
      </c>
    </row>
    <row r="71" spans="1:9" ht="30" x14ac:dyDescent="0.25">
      <c r="A71">
        <v>70</v>
      </c>
      <c r="B71" t="s">
        <v>215</v>
      </c>
      <c r="C71" t="s">
        <v>174</v>
      </c>
      <c r="D71" t="s">
        <v>439</v>
      </c>
      <c r="E71" t="s">
        <v>489</v>
      </c>
      <c r="F71">
        <v>202</v>
      </c>
      <c r="G71">
        <v>0.83643892339544501</v>
      </c>
      <c r="H71" s="1" t="s">
        <v>216</v>
      </c>
      <c r="I71" s="14">
        <v>0</v>
      </c>
    </row>
    <row r="72" spans="1:9" x14ac:dyDescent="0.25">
      <c r="A72">
        <v>71</v>
      </c>
      <c r="B72" t="s">
        <v>185</v>
      </c>
      <c r="C72" t="s">
        <v>174</v>
      </c>
      <c r="D72" t="s">
        <v>439</v>
      </c>
      <c r="E72" t="s">
        <v>490</v>
      </c>
      <c r="F72">
        <v>732</v>
      </c>
      <c r="G72">
        <v>3.03105590062111</v>
      </c>
      <c r="H72" s="1" t="s">
        <v>186</v>
      </c>
      <c r="I72" s="14">
        <v>1</v>
      </c>
    </row>
    <row r="73" spans="1:9" x14ac:dyDescent="0.25">
      <c r="A73">
        <v>72</v>
      </c>
      <c r="B73" t="s">
        <v>236</v>
      </c>
      <c r="C73" t="s">
        <v>174</v>
      </c>
      <c r="D73" t="s">
        <v>439</v>
      </c>
      <c r="E73" t="s">
        <v>36</v>
      </c>
      <c r="F73">
        <v>732</v>
      </c>
      <c r="G73">
        <v>3.03105590062111</v>
      </c>
      <c r="H73" s="1" t="s">
        <v>237</v>
      </c>
      <c r="I73" s="14">
        <v>0</v>
      </c>
    </row>
    <row r="74" spans="1:9" x14ac:dyDescent="0.25">
      <c r="A74">
        <v>73</v>
      </c>
      <c r="B74" t="s">
        <v>212</v>
      </c>
      <c r="C74" t="s">
        <v>174</v>
      </c>
      <c r="D74" t="s">
        <v>439</v>
      </c>
      <c r="E74" t="s">
        <v>491</v>
      </c>
      <c r="F74">
        <v>732</v>
      </c>
      <c r="G74">
        <v>3.03105590062111</v>
      </c>
      <c r="H74" s="1" t="s">
        <v>213</v>
      </c>
      <c r="I74" s="14">
        <v>0</v>
      </c>
    </row>
    <row r="75" spans="1:9" ht="30" x14ac:dyDescent="0.25">
      <c r="A75">
        <v>74</v>
      </c>
      <c r="B75" t="s">
        <v>264</v>
      </c>
      <c r="C75" t="s">
        <v>174</v>
      </c>
      <c r="D75" t="s">
        <v>439</v>
      </c>
      <c r="E75" t="s">
        <v>266</v>
      </c>
      <c r="F75">
        <v>3619</v>
      </c>
      <c r="G75">
        <v>14.9855072463768</v>
      </c>
      <c r="H75" s="1" t="s">
        <v>265</v>
      </c>
      <c r="I75" s="14">
        <v>0</v>
      </c>
    </row>
    <row r="76" spans="1:9" x14ac:dyDescent="0.25">
      <c r="A76">
        <v>75</v>
      </c>
      <c r="B76" t="s">
        <v>191</v>
      </c>
      <c r="C76" t="s">
        <v>174</v>
      </c>
      <c r="D76" t="s">
        <v>439</v>
      </c>
      <c r="E76" t="s">
        <v>492</v>
      </c>
      <c r="F76">
        <v>3619</v>
      </c>
      <c r="G76">
        <v>14.9855072463768</v>
      </c>
      <c r="H76" s="1" t="s">
        <v>192</v>
      </c>
      <c r="I76" s="14">
        <v>1</v>
      </c>
    </row>
    <row r="77" spans="1:9" x14ac:dyDescent="0.25">
      <c r="A77">
        <v>76</v>
      </c>
      <c r="B77" t="s">
        <v>240</v>
      </c>
      <c r="C77" t="s">
        <v>174</v>
      </c>
      <c r="D77" t="s">
        <v>439</v>
      </c>
      <c r="E77" t="s">
        <v>36</v>
      </c>
      <c r="F77">
        <v>3619</v>
      </c>
      <c r="G77">
        <v>14.9855072463768</v>
      </c>
      <c r="H77" s="1" t="s">
        <v>241</v>
      </c>
      <c r="I77" s="14">
        <v>0</v>
      </c>
    </row>
    <row r="78" spans="1:9" x14ac:dyDescent="0.25">
      <c r="A78">
        <v>77</v>
      </c>
      <c r="B78" t="s">
        <v>218</v>
      </c>
      <c r="C78" t="s">
        <v>174</v>
      </c>
      <c r="D78" t="s">
        <v>439</v>
      </c>
      <c r="E78" t="s">
        <v>493</v>
      </c>
      <c r="F78">
        <v>3619</v>
      </c>
      <c r="G78">
        <v>14.9855072463768</v>
      </c>
      <c r="H78" s="1" t="s">
        <v>219</v>
      </c>
      <c r="I78" s="14">
        <v>0</v>
      </c>
    </row>
    <row r="79" spans="1:9" ht="30" x14ac:dyDescent="0.25">
      <c r="A79">
        <v>78</v>
      </c>
      <c r="B79" t="s">
        <v>267</v>
      </c>
      <c r="C79" t="s">
        <v>174</v>
      </c>
      <c r="D79" t="s">
        <v>439</v>
      </c>
      <c r="E79" t="s">
        <v>247</v>
      </c>
      <c r="F79">
        <v>538</v>
      </c>
      <c r="G79">
        <v>2.2277432712215299</v>
      </c>
      <c r="H79" s="1" t="s">
        <v>268</v>
      </c>
      <c r="I79" s="14">
        <v>0</v>
      </c>
    </row>
    <row r="80" spans="1:9" x14ac:dyDescent="0.25">
      <c r="A80">
        <v>79</v>
      </c>
      <c r="B80" t="s">
        <v>194</v>
      </c>
      <c r="C80" t="s">
        <v>174</v>
      </c>
      <c r="D80" t="s">
        <v>439</v>
      </c>
      <c r="E80" t="s">
        <v>199</v>
      </c>
      <c r="F80">
        <v>538</v>
      </c>
      <c r="G80">
        <v>2.2277432712215299</v>
      </c>
      <c r="H80" s="1" t="s">
        <v>195</v>
      </c>
      <c r="I80" s="14">
        <v>0</v>
      </c>
    </row>
    <row r="81" spans="1:9" x14ac:dyDescent="0.25">
      <c r="A81">
        <v>80</v>
      </c>
      <c r="B81" t="s">
        <v>242</v>
      </c>
      <c r="C81" t="s">
        <v>174</v>
      </c>
      <c r="D81" t="s">
        <v>439</v>
      </c>
      <c r="E81" t="s">
        <v>231</v>
      </c>
      <c r="F81">
        <v>538</v>
      </c>
      <c r="G81">
        <v>2.2277432712215299</v>
      </c>
      <c r="H81" s="1" t="s">
        <v>243</v>
      </c>
      <c r="I81" s="14">
        <v>0</v>
      </c>
    </row>
    <row r="82" spans="1:9" x14ac:dyDescent="0.25">
      <c r="A82">
        <v>81</v>
      </c>
      <c r="B82" t="s">
        <v>221</v>
      </c>
      <c r="C82" t="s">
        <v>174</v>
      </c>
      <c r="D82" t="s">
        <v>439</v>
      </c>
      <c r="E82" t="s">
        <v>494</v>
      </c>
      <c r="F82">
        <v>538</v>
      </c>
      <c r="G82">
        <v>2.2277432712215299</v>
      </c>
      <c r="H82" s="1" t="s">
        <v>222</v>
      </c>
      <c r="I82" s="14">
        <v>0</v>
      </c>
    </row>
    <row r="83" spans="1:9" ht="30" x14ac:dyDescent="0.25">
      <c r="A83">
        <v>82</v>
      </c>
      <c r="B83" t="s">
        <v>269</v>
      </c>
      <c r="C83" t="s">
        <v>174</v>
      </c>
      <c r="D83" t="s">
        <v>439</v>
      </c>
      <c r="E83" t="s">
        <v>495</v>
      </c>
      <c r="F83">
        <v>180</v>
      </c>
      <c r="G83">
        <v>0.74534161490683204</v>
      </c>
      <c r="H83" s="1" t="s">
        <v>270</v>
      </c>
      <c r="I83" s="14">
        <v>0</v>
      </c>
    </row>
    <row r="84" spans="1:9" x14ac:dyDescent="0.25">
      <c r="A84">
        <v>83</v>
      </c>
      <c r="B84" t="s">
        <v>197</v>
      </c>
      <c r="C84" t="s">
        <v>174</v>
      </c>
      <c r="D84" t="s">
        <v>439</v>
      </c>
      <c r="E84" t="s">
        <v>199</v>
      </c>
      <c r="F84">
        <v>180</v>
      </c>
      <c r="G84">
        <v>0.74534161490683204</v>
      </c>
      <c r="H84" s="1" t="s">
        <v>198</v>
      </c>
      <c r="I84" s="14">
        <v>0</v>
      </c>
    </row>
    <row r="85" spans="1:9" ht="30" x14ac:dyDescent="0.25">
      <c r="A85">
        <v>84</v>
      </c>
      <c r="B85" t="s">
        <v>245</v>
      </c>
      <c r="C85" t="s">
        <v>174</v>
      </c>
      <c r="D85" t="s">
        <v>439</v>
      </c>
      <c r="E85" t="s">
        <v>496</v>
      </c>
      <c r="F85">
        <v>180</v>
      </c>
      <c r="G85">
        <v>0.74534161490683204</v>
      </c>
      <c r="H85" s="1" t="s">
        <v>246</v>
      </c>
      <c r="I85" s="14">
        <v>0</v>
      </c>
    </row>
    <row r="86" spans="1:9" ht="30" x14ac:dyDescent="0.25">
      <c r="A86">
        <v>85</v>
      </c>
      <c r="B86" t="s">
        <v>224</v>
      </c>
      <c r="C86" t="s">
        <v>174</v>
      </c>
      <c r="D86" t="s">
        <v>439</v>
      </c>
      <c r="E86" t="s">
        <v>226</v>
      </c>
      <c r="F86">
        <v>180</v>
      </c>
      <c r="G86">
        <v>0.74534161490683204</v>
      </c>
      <c r="H86" s="1" t="s">
        <v>225</v>
      </c>
      <c r="I86" s="14">
        <v>0</v>
      </c>
    </row>
    <row r="87" spans="1:9" x14ac:dyDescent="0.25">
      <c r="A87">
        <v>86</v>
      </c>
      <c r="B87" t="s">
        <v>271</v>
      </c>
      <c r="C87" t="s">
        <v>174</v>
      </c>
      <c r="D87" t="s">
        <v>439</v>
      </c>
      <c r="E87" t="s">
        <v>273</v>
      </c>
      <c r="F87">
        <v>6906</v>
      </c>
      <c r="G87">
        <v>28.596273291925399</v>
      </c>
      <c r="H87" s="1" t="s">
        <v>272</v>
      </c>
      <c r="I87" s="14">
        <v>0</v>
      </c>
    </row>
    <row r="88" spans="1:9" x14ac:dyDescent="0.25">
      <c r="A88">
        <v>87</v>
      </c>
      <c r="B88" t="s">
        <v>357</v>
      </c>
      <c r="C88" t="s">
        <v>359</v>
      </c>
      <c r="D88" t="s">
        <v>359</v>
      </c>
      <c r="E88" t="s">
        <v>497</v>
      </c>
      <c r="F88">
        <v>15554</v>
      </c>
      <c r="G88">
        <v>64.405797101449195</v>
      </c>
      <c r="H88" s="1" t="s">
        <v>358</v>
      </c>
      <c r="I88" s="14">
        <v>0</v>
      </c>
    </row>
    <row r="89" spans="1:9" x14ac:dyDescent="0.25">
      <c r="A89">
        <v>88</v>
      </c>
      <c r="B89" t="s">
        <v>361</v>
      </c>
      <c r="C89" t="s">
        <v>359</v>
      </c>
      <c r="D89" t="s">
        <v>359</v>
      </c>
      <c r="E89" t="s">
        <v>363</v>
      </c>
      <c r="F89">
        <v>3860</v>
      </c>
      <c r="G89">
        <v>15.983436853002001</v>
      </c>
      <c r="H89" s="1" t="s">
        <v>362</v>
      </c>
      <c r="I89" s="14">
        <v>0</v>
      </c>
    </row>
    <row r="90" spans="1:9" x14ac:dyDescent="0.25">
      <c r="A90">
        <v>89</v>
      </c>
      <c r="B90" t="s">
        <v>364</v>
      </c>
      <c r="C90" t="s">
        <v>359</v>
      </c>
      <c r="D90" t="s">
        <v>359</v>
      </c>
      <c r="E90" t="s">
        <v>498</v>
      </c>
      <c r="F90">
        <v>1347</v>
      </c>
      <c r="G90">
        <v>5.5776397515527902</v>
      </c>
      <c r="H90" s="1" t="s">
        <v>365</v>
      </c>
      <c r="I90" s="14">
        <v>0</v>
      </c>
    </row>
    <row r="91" spans="1:9" x14ac:dyDescent="0.25">
      <c r="A91">
        <v>90</v>
      </c>
      <c r="B91" t="s">
        <v>499</v>
      </c>
      <c r="C91" t="s">
        <v>359</v>
      </c>
      <c r="D91" t="s">
        <v>359</v>
      </c>
      <c r="E91" t="s">
        <v>363</v>
      </c>
      <c r="F91">
        <v>4339</v>
      </c>
      <c r="G91">
        <v>17.966873706004101</v>
      </c>
      <c r="H91" s="1" t="s">
        <v>500</v>
      </c>
      <c r="I91" s="14">
        <v>0</v>
      </c>
    </row>
    <row r="92" spans="1:9" ht="30" x14ac:dyDescent="0.25">
      <c r="A92">
        <v>91</v>
      </c>
      <c r="B92" t="s">
        <v>379</v>
      </c>
      <c r="C92" t="s">
        <v>359</v>
      </c>
      <c r="D92" t="s">
        <v>359</v>
      </c>
      <c r="E92" t="s">
        <v>381</v>
      </c>
      <c r="F92">
        <v>3379</v>
      </c>
      <c r="G92">
        <v>13.991718426501</v>
      </c>
      <c r="H92" s="1" t="s">
        <v>380</v>
      </c>
      <c r="I92" s="14">
        <v>0</v>
      </c>
    </row>
    <row r="93" spans="1:9" x14ac:dyDescent="0.25">
      <c r="A93">
        <v>92</v>
      </c>
      <c r="B93" t="s">
        <v>391</v>
      </c>
      <c r="C93" t="s">
        <v>359</v>
      </c>
      <c r="D93" t="s">
        <v>359</v>
      </c>
      <c r="E93" t="s">
        <v>393</v>
      </c>
      <c r="F93">
        <v>54</v>
      </c>
      <c r="G93">
        <v>0.223602484472049</v>
      </c>
      <c r="H93" s="1" t="s">
        <v>392</v>
      </c>
      <c r="I93" s="14">
        <v>0</v>
      </c>
    </row>
    <row r="94" spans="1:9" x14ac:dyDescent="0.25">
      <c r="A94">
        <v>93</v>
      </c>
      <c r="B94" t="s">
        <v>367</v>
      </c>
      <c r="C94" t="s">
        <v>359</v>
      </c>
      <c r="D94" t="s">
        <v>359</v>
      </c>
      <c r="E94" t="s">
        <v>369</v>
      </c>
      <c r="F94">
        <v>1179</v>
      </c>
      <c r="G94">
        <v>4.8819875776397499</v>
      </c>
      <c r="H94" s="1" t="s">
        <v>368</v>
      </c>
      <c r="I94" s="14">
        <v>0</v>
      </c>
    </row>
    <row r="95" spans="1:9" x14ac:dyDescent="0.25">
      <c r="A95">
        <v>94</v>
      </c>
      <c r="B95" t="s">
        <v>370</v>
      </c>
      <c r="C95" t="s">
        <v>359</v>
      </c>
      <c r="D95" t="s">
        <v>359</v>
      </c>
      <c r="E95" t="s">
        <v>501</v>
      </c>
      <c r="F95">
        <v>231</v>
      </c>
      <c r="G95">
        <v>0.95652173913043403</v>
      </c>
      <c r="H95" s="1" t="s">
        <v>371</v>
      </c>
      <c r="I95" s="14">
        <v>0</v>
      </c>
    </row>
    <row r="96" spans="1:9" x14ac:dyDescent="0.25">
      <c r="A96">
        <v>95</v>
      </c>
      <c r="B96" t="s">
        <v>373</v>
      </c>
      <c r="C96" t="s">
        <v>359</v>
      </c>
      <c r="D96" t="s">
        <v>359</v>
      </c>
      <c r="E96" t="s">
        <v>502</v>
      </c>
      <c r="F96">
        <v>447</v>
      </c>
      <c r="G96">
        <v>1.8509316770186299</v>
      </c>
      <c r="H96" s="1" t="s">
        <v>374</v>
      </c>
      <c r="I96" s="14">
        <v>0</v>
      </c>
    </row>
    <row r="97" spans="1:9" x14ac:dyDescent="0.25">
      <c r="A97">
        <v>96</v>
      </c>
      <c r="B97" t="s">
        <v>376</v>
      </c>
      <c r="C97" t="s">
        <v>359</v>
      </c>
      <c r="D97" t="s">
        <v>359</v>
      </c>
      <c r="E97" t="s">
        <v>378</v>
      </c>
      <c r="F97">
        <v>796</v>
      </c>
      <c r="G97">
        <v>3.2960662525879898</v>
      </c>
      <c r="H97" s="1" t="s">
        <v>377</v>
      </c>
      <c r="I97" s="14">
        <v>0</v>
      </c>
    </row>
    <row r="98" spans="1:9" x14ac:dyDescent="0.25">
      <c r="A98">
        <v>97</v>
      </c>
      <c r="B98" t="s">
        <v>382</v>
      </c>
      <c r="C98" t="s">
        <v>359</v>
      </c>
      <c r="D98" t="s">
        <v>359</v>
      </c>
      <c r="E98" t="s">
        <v>384</v>
      </c>
      <c r="F98">
        <v>518</v>
      </c>
      <c r="G98">
        <v>2.1449275362318798</v>
      </c>
      <c r="H98" s="1" t="s">
        <v>383</v>
      </c>
      <c r="I98" s="14">
        <v>0</v>
      </c>
    </row>
    <row r="99" spans="1:9" x14ac:dyDescent="0.25">
      <c r="A99">
        <v>98</v>
      </c>
      <c r="B99" t="s">
        <v>385</v>
      </c>
      <c r="C99" t="s">
        <v>359</v>
      </c>
      <c r="D99" t="s">
        <v>359</v>
      </c>
      <c r="E99" t="s">
        <v>387</v>
      </c>
      <c r="F99">
        <v>248</v>
      </c>
      <c r="G99">
        <v>1.0269151138716299</v>
      </c>
      <c r="H99" s="1" t="s">
        <v>386</v>
      </c>
      <c r="I99" s="14">
        <v>0</v>
      </c>
    </row>
    <row r="100" spans="1:9" x14ac:dyDescent="0.25">
      <c r="A100">
        <v>99</v>
      </c>
      <c r="B100" t="s">
        <v>388</v>
      </c>
      <c r="C100" t="s">
        <v>359</v>
      </c>
      <c r="D100" t="s">
        <v>359</v>
      </c>
      <c r="E100" t="s">
        <v>390</v>
      </c>
      <c r="F100">
        <v>755</v>
      </c>
      <c r="G100">
        <v>3.1262939958592102</v>
      </c>
      <c r="H100" s="1" t="s">
        <v>389</v>
      </c>
      <c r="I100" s="14">
        <v>0</v>
      </c>
    </row>
    <row r="101" spans="1:9" x14ac:dyDescent="0.25">
      <c r="A101">
        <v>100</v>
      </c>
      <c r="B101" t="s">
        <v>394</v>
      </c>
      <c r="C101" t="s">
        <v>359</v>
      </c>
      <c r="D101" t="s">
        <v>359</v>
      </c>
      <c r="E101" t="s">
        <v>396</v>
      </c>
      <c r="F101">
        <v>57</v>
      </c>
      <c r="G101">
        <v>0.23602484472049601</v>
      </c>
      <c r="H101" s="1" t="s">
        <v>395</v>
      </c>
      <c r="I101" s="14">
        <v>0</v>
      </c>
    </row>
    <row r="102" spans="1:9" x14ac:dyDescent="0.25">
      <c r="A102">
        <v>101</v>
      </c>
      <c r="B102" t="s">
        <v>503</v>
      </c>
      <c r="C102" t="s">
        <v>359</v>
      </c>
      <c r="D102" t="s">
        <v>359</v>
      </c>
      <c r="E102" t="s">
        <v>363</v>
      </c>
      <c r="F102">
        <v>17022</v>
      </c>
      <c r="G102">
        <v>70.484472049689401</v>
      </c>
      <c r="H102" s="1" t="s">
        <v>504</v>
      </c>
      <c r="I102" s="14">
        <v>0</v>
      </c>
    </row>
    <row r="103" spans="1:9" ht="30" x14ac:dyDescent="0.25">
      <c r="A103">
        <v>102</v>
      </c>
      <c r="B103" t="s">
        <v>326</v>
      </c>
      <c r="C103" t="s">
        <v>294</v>
      </c>
      <c r="D103" t="s">
        <v>400</v>
      </c>
      <c r="E103" t="s">
        <v>328</v>
      </c>
      <c r="F103">
        <v>13372</v>
      </c>
      <c r="G103">
        <v>97.769978800000004</v>
      </c>
      <c r="H103" s="1" t="s">
        <v>327</v>
      </c>
      <c r="I103" s="14">
        <v>0</v>
      </c>
    </row>
    <row r="104" spans="1:9" ht="45" x14ac:dyDescent="0.25">
      <c r="A104">
        <v>103</v>
      </c>
      <c r="B104" t="s">
        <v>431</v>
      </c>
      <c r="C104" t="s">
        <v>294</v>
      </c>
      <c r="D104" t="s">
        <v>400</v>
      </c>
      <c r="H104" s="1" t="s">
        <v>435</v>
      </c>
      <c r="I104" s="14">
        <v>0</v>
      </c>
    </row>
    <row r="105" spans="1:9" ht="30" x14ac:dyDescent="0.25">
      <c r="A105">
        <v>104</v>
      </c>
      <c r="B105" t="s">
        <v>329</v>
      </c>
      <c r="C105" t="s">
        <v>294</v>
      </c>
      <c r="D105" t="s">
        <v>400</v>
      </c>
      <c r="E105" t="s">
        <v>331</v>
      </c>
      <c r="F105">
        <v>13461</v>
      </c>
      <c r="G105">
        <v>98.420706300000006</v>
      </c>
      <c r="H105" s="1" t="s">
        <v>330</v>
      </c>
      <c r="I105" s="14">
        <v>0</v>
      </c>
    </row>
    <row r="106" spans="1:9" ht="30" x14ac:dyDescent="0.25">
      <c r="A106">
        <v>105</v>
      </c>
      <c r="B106" t="s">
        <v>332</v>
      </c>
      <c r="C106" t="s">
        <v>294</v>
      </c>
      <c r="D106" t="s">
        <v>400</v>
      </c>
      <c r="E106" t="s">
        <v>334</v>
      </c>
      <c r="F106">
        <v>13440</v>
      </c>
      <c r="G106">
        <v>98.267163850000003</v>
      </c>
      <c r="H106" s="1" t="s">
        <v>333</v>
      </c>
      <c r="I106" s="14">
        <v>0</v>
      </c>
    </row>
    <row r="107" spans="1:9" ht="30" x14ac:dyDescent="0.25">
      <c r="A107">
        <v>106</v>
      </c>
      <c r="B107" t="s">
        <v>335</v>
      </c>
      <c r="C107" t="s">
        <v>294</v>
      </c>
      <c r="D107" t="s">
        <v>400</v>
      </c>
      <c r="E107" t="s">
        <v>337</v>
      </c>
      <c r="F107">
        <v>12808</v>
      </c>
      <c r="G107">
        <v>93.646267460000004</v>
      </c>
      <c r="H107" s="1" t="s">
        <v>336</v>
      </c>
      <c r="I107" s="14">
        <v>0</v>
      </c>
    </row>
    <row r="108" spans="1:9" ht="30" x14ac:dyDescent="0.25">
      <c r="A108">
        <v>107</v>
      </c>
      <c r="B108" t="s">
        <v>424</v>
      </c>
      <c r="C108" t="s">
        <v>294</v>
      </c>
      <c r="D108" t="s">
        <v>400</v>
      </c>
      <c r="H108" s="1" t="s">
        <v>426</v>
      </c>
      <c r="I108" s="14">
        <v>0</v>
      </c>
    </row>
    <row r="109" spans="1:9" ht="30" x14ac:dyDescent="0.25">
      <c r="A109">
        <v>108</v>
      </c>
      <c r="B109" t="s">
        <v>338</v>
      </c>
      <c r="C109" t="s">
        <v>294</v>
      </c>
      <c r="D109" t="s">
        <v>400</v>
      </c>
      <c r="E109" t="s">
        <v>340</v>
      </c>
      <c r="F109">
        <v>10152</v>
      </c>
      <c r="G109">
        <v>74.226804119999997</v>
      </c>
      <c r="H109" s="1" t="s">
        <v>339</v>
      </c>
      <c r="I109" s="14">
        <v>0</v>
      </c>
    </row>
    <row r="110" spans="1:9" ht="30" x14ac:dyDescent="0.25">
      <c r="A110">
        <v>109</v>
      </c>
      <c r="B110" t="s">
        <v>341</v>
      </c>
      <c r="C110" t="s">
        <v>294</v>
      </c>
      <c r="D110" t="s">
        <v>400</v>
      </c>
      <c r="E110" t="s">
        <v>343</v>
      </c>
      <c r="F110">
        <v>5613</v>
      </c>
      <c r="G110">
        <v>41.039701690000001</v>
      </c>
      <c r="H110" s="1" t="s">
        <v>342</v>
      </c>
      <c r="I110" s="14">
        <v>0</v>
      </c>
    </row>
    <row r="111" spans="1:9" ht="30" x14ac:dyDescent="0.25">
      <c r="A111">
        <v>110</v>
      </c>
      <c r="B111" t="s">
        <v>314</v>
      </c>
      <c r="C111" t="s">
        <v>294</v>
      </c>
      <c r="D111" t="s">
        <v>400</v>
      </c>
      <c r="E111" t="s">
        <v>316</v>
      </c>
      <c r="F111">
        <v>13427</v>
      </c>
      <c r="G111">
        <v>98.17</v>
      </c>
      <c r="H111" s="1" t="s">
        <v>315</v>
      </c>
      <c r="I111" s="14">
        <v>0</v>
      </c>
    </row>
    <row r="112" spans="1:9" ht="30" x14ac:dyDescent="0.25">
      <c r="A112">
        <v>111</v>
      </c>
      <c r="B112" t="s">
        <v>296</v>
      </c>
      <c r="C112" t="s">
        <v>294</v>
      </c>
      <c r="D112" t="s">
        <v>400</v>
      </c>
      <c r="E112" t="s">
        <v>298</v>
      </c>
      <c r="F112">
        <v>13512</v>
      </c>
      <c r="G112">
        <v>98.79</v>
      </c>
      <c r="H112" s="1" t="s">
        <v>297</v>
      </c>
      <c r="I112" s="14">
        <v>0</v>
      </c>
    </row>
    <row r="113" spans="1:9" ht="45" x14ac:dyDescent="0.25">
      <c r="A113">
        <v>112</v>
      </c>
      <c r="B113" t="s">
        <v>299</v>
      </c>
      <c r="C113" t="s">
        <v>294</v>
      </c>
      <c r="D113" t="s">
        <v>400</v>
      </c>
      <c r="E113" t="s">
        <v>301</v>
      </c>
      <c r="F113">
        <v>13344</v>
      </c>
      <c r="G113">
        <v>97.57</v>
      </c>
      <c r="H113" s="1" t="s">
        <v>300</v>
      </c>
      <c r="I113" s="14">
        <v>0</v>
      </c>
    </row>
    <row r="114" spans="1:9" ht="45" x14ac:dyDescent="0.25">
      <c r="A114">
        <v>113</v>
      </c>
      <c r="B114" t="s">
        <v>308</v>
      </c>
      <c r="C114" t="s">
        <v>294</v>
      </c>
      <c r="D114" t="s">
        <v>400</v>
      </c>
      <c r="E114" t="s">
        <v>310</v>
      </c>
      <c r="F114">
        <v>11502</v>
      </c>
      <c r="G114">
        <v>84.09738978</v>
      </c>
      <c r="H114" s="1" t="s">
        <v>309</v>
      </c>
      <c r="I114" s="14">
        <v>0</v>
      </c>
    </row>
    <row r="115" spans="1:9" ht="45" x14ac:dyDescent="0.25">
      <c r="A115">
        <v>114</v>
      </c>
      <c r="B115" t="s">
        <v>305</v>
      </c>
      <c r="C115" t="s">
        <v>294</v>
      </c>
      <c r="D115" t="s">
        <v>400</v>
      </c>
      <c r="E115" t="s">
        <v>307</v>
      </c>
      <c r="F115">
        <v>12584</v>
      </c>
      <c r="G115">
        <v>92.00848139</v>
      </c>
      <c r="H115" s="1" t="s">
        <v>306</v>
      </c>
      <c r="I115" s="14">
        <v>0</v>
      </c>
    </row>
    <row r="116" spans="1:9" ht="45" x14ac:dyDescent="0.25">
      <c r="A116">
        <v>115</v>
      </c>
      <c r="B116" t="s">
        <v>302</v>
      </c>
      <c r="C116" t="s">
        <v>294</v>
      </c>
      <c r="D116" t="s">
        <v>400</v>
      </c>
      <c r="E116" t="s">
        <v>304</v>
      </c>
      <c r="F116">
        <v>13358</v>
      </c>
      <c r="G116">
        <v>97.66761717</v>
      </c>
      <c r="H116" s="1" t="s">
        <v>303</v>
      </c>
      <c r="I116" s="14">
        <v>0</v>
      </c>
    </row>
    <row r="117" spans="1:9" ht="30" x14ac:dyDescent="0.25">
      <c r="A117">
        <v>116</v>
      </c>
      <c r="B117" t="s">
        <v>344</v>
      </c>
      <c r="C117" t="s">
        <v>294</v>
      </c>
      <c r="D117" t="s">
        <v>400</v>
      </c>
      <c r="E117" t="s">
        <v>346</v>
      </c>
      <c r="F117">
        <v>12241</v>
      </c>
      <c r="G117">
        <v>89.5</v>
      </c>
      <c r="H117" s="1" t="s">
        <v>345</v>
      </c>
      <c r="I117" s="14">
        <v>0</v>
      </c>
    </row>
    <row r="118" spans="1:9" ht="30" x14ac:dyDescent="0.25">
      <c r="A118">
        <v>117</v>
      </c>
      <c r="B118" t="s">
        <v>317</v>
      </c>
      <c r="C118" t="s">
        <v>294</v>
      </c>
      <c r="D118" t="s">
        <v>400</v>
      </c>
      <c r="E118" t="s">
        <v>319</v>
      </c>
      <c r="F118">
        <v>13519</v>
      </c>
      <c r="G118">
        <v>98.844775900000002</v>
      </c>
      <c r="H118" s="1" t="s">
        <v>318</v>
      </c>
      <c r="I118" s="14">
        <v>0</v>
      </c>
    </row>
    <row r="119" spans="1:9" x14ac:dyDescent="0.25">
      <c r="A119">
        <v>118</v>
      </c>
      <c r="B119" t="s">
        <v>73</v>
      </c>
      <c r="C119" t="s">
        <v>15</v>
      </c>
      <c r="D119" t="s">
        <v>400</v>
      </c>
      <c r="E119" t="s">
        <v>75</v>
      </c>
      <c r="F119">
        <v>11818</v>
      </c>
      <c r="G119">
        <v>86.407837979999996</v>
      </c>
      <c r="H119" s="1" t="s">
        <v>74</v>
      </c>
      <c r="I119" s="14">
        <v>0</v>
      </c>
    </row>
    <row r="120" spans="1:9" x14ac:dyDescent="0.25">
      <c r="A120">
        <v>119</v>
      </c>
      <c r="B120" t="s">
        <v>86</v>
      </c>
      <c r="C120" t="s">
        <v>15</v>
      </c>
      <c r="D120" t="s">
        <v>400</v>
      </c>
      <c r="E120" t="s">
        <v>88</v>
      </c>
      <c r="F120">
        <v>10685</v>
      </c>
      <c r="G120">
        <v>78.123857569999998</v>
      </c>
      <c r="H120" s="1" t="s">
        <v>87</v>
      </c>
      <c r="I120" s="14">
        <v>0</v>
      </c>
    </row>
    <row r="121" spans="1:9" x14ac:dyDescent="0.25">
      <c r="A121">
        <v>120</v>
      </c>
      <c r="B121" t="s">
        <v>98</v>
      </c>
      <c r="C121" t="s">
        <v>15</v>
      </c>
      <c r="D121" t="s">
        <v>400</v>
      </c>
      <c r="E121" t="s">
        <v>100</v>
      </c>
      <c r="F121">
        <v>10765</v>
      </c>
      <c r="G121">
        <v>78.708781169999995</v>
      </c>
      <c r="H121" s="1" t="s">
        <v>99</v>
      </c>
      <c r="I121" s="14">
        <v>0</v>
      </c>
    </row>
    <row r="122" spans="1:9" x14ac:dyDescent="0.25">
      <c r="A122">
        <v>121</v>
      </c>
      <c r="B122" t="s">
        <v>110</v>
      </c>
      <c r="C122" t="s">
        <v>15</v>
      </c>
      <c r="D122" t="s">
        <v>400</v>
      </c>
      <c r="E122" t="s">
        <v>112</v>
      </c>
      <c r="F122">
        <v>10941</v>
      </c>
      <c r="G122">
        <v>79.995613070000005</v>
      </c>
      <c r="H122" s="1" t="s">
        <v>111</v>
      </c>
      <c r="I122" s="14">
        <v>0</v>
      </c>
    </row>
    <row r="123" spans="1:9" x14ac:dyDescent="0.25">
      <c r="A123">
        <v>122</v>
      </c>
      <c r="B123" t="s">
        <v>122</v>
      </c>
      <c r="C123" t="s">
        <v>15</v>
      </c>
      <c r="D123" t="s">
        <v>400</v>
      </c>
      <c r="E123" t="s">
        <v>124</v>
      </c>
      <c r="F123">
        <v>11067</v>
      </c>
      <c r="G123">
        <v>80.916867730000007</v>
      </c>
      <c r="H123" s="1" t="s">
        <v>123</v>
      </c>
      <c r="I123" s="14">
        <v>0</v>
      </c>
    </row>
    <row r="124" spans="1:9" x14ac:dyDescent="0.25">
      <c r="A124">
        <v>123</v>
      </c>
      <c r="B124" t="s">
        <v>134</v>
      </c>
      <c r="C124" t="s">
        <v>15</v>
      </c>
      <c r="D124" t="s">
        <v>400</v>
      </c>
      <c r="E124" t="s">
        <v>136</v>
      </c>
      <c r="F124">
        <v>11182</v>
      </c>
      <c r="G124">
        <v>81.757695400000003</v>
      </c>
      <c r="H124" s="1" t="s">
        <v>135</v>
      </c>
      <c r="I124" s="14">
        <v>0</v>
      </c>
    </row>
    <row r="125" spans="1:9" x14ac:dyDescent="0.25">
      <c r="A125">
        <v>124</v>
      </c>
      <c r="B125" t="s">
        <v>146</v>
      </c>
      <c r="C125" t="s">
        <v>15</v>
      </c>
      <c r="D125" t="s">
        <v>400</v>
      </c>
      <c r="E125" t="s">
        <v>148</v>
      </c>
      <c r="F125">
        <v>11256</v>
      </c>
      <c r="G125">
        <v>82.298749729999997</v>
      </c>
      <c r="H125" s="1" t="s">
        <v>147</v>
      </c>
      <c r="I125" s="14">
        <v>0</v>
      </c>
    </row>
    <row r="126" spans="1:9" x14ac:dyDescent="0.25">
      <c r="A126">
        <v>125</v>
      </c>
      <c r="B126" t="s">
        <v>157</v>
      </c>
      <c r="C126" t="s">
        <v>15</v>
      </c>
      <c r="D126" t="s">
        <v>400</v>
      </c>
      <c r="E126" t="s">
        <v>65</v>
      </c>
      <c r="F126">
        <v>11312</v>
      </c>
      <c r="G126">
        <v>82.71</v>
      </c>
      <c r="H126" s="1" t="s">
        <v>158</v>
      </c>
      <c r="I126" s="14">
        <v>0</v>
      </c>
    </row>
    <row r="127" spans="1:9" x14ac:dyDescent="0.25">
      <c r="A127">
        <v>126</v>
      </c>
      <c r="B127" t="s">
        <v>80</v>
      </c>
      <c r="C127" t="s">
        <v>15</v>
      </c>
      <c r="D127" t="s">
        <v>400</v>
      </c>
      <c r="E127" t="s">
        <v>82</v>
      </c>
      <c r="F127">
        <v>5919</v>
      </c>
      <c r="G127">
        <v>43.277034440000001</v>
      </c>
      <c r="H127" s="1" t="s">
        <v>81</v>
      </c>
      <c r="I127" s="14">
        <v>0</v>
      </c>
    </row>
    <row r="128" spans="1:9" x14ac:dyDescent="0.25">
      <c r="A128">
        <v>127</v>
      </c>
      <c r="B128" t="s">
        <v>93</v>
      </c>
      <c r="C128" t="s">
        <v>15</v>
      </c>
      <c r="D128" t="s">
        <v>400</v>
      </c>
      <c r="E128" t="s">
        <v>36</v>
      </c>
      <c r="F128">
        <v>180</v>
      </c>
      <c r="G128">
        <v>1.316078087</v>
      </c>
      <c r="H128" s="1" t="s">
        <v>94</v>
      </c>
      <c r="I128" s="14">
        <v>0</v>
      </c>
    </row>
    <row r="129" spans="1:9" x14ac:dyDescent="0.25">
      <c r="A129">
        <v>128</v>
      </c>
      <c r="B129" t="s">
        <v>105</v>
      </c>
      <c r="C129" t="s">
        <v>15</v>
      </c>
      <c r="D129" t="s">
        <v>400</v>
      </c>
      <c r="E129" t="s">
        <v>36</v>
      </c>
      <c r="F129">
        <v>191</v>
      </c>
      <c r="G129">
        <v>1.396505082</v>
      </c>
      <c r="H129" s="1" t="s">
        <v>106</v>
      </c>
      <c r="I129" s="14">
        <v>0</v>
      </c>
    </row>
    <row r="130" spans="1:9" x14ac:dyDescent="0.25">
      <c r="A130">
        <v>129</v>
      </c>
      <c r="B130" t="s">
        <v>117</v>
      </c>
      <c r="C130" t="s">
        <v>15</v>
      </c>
      <c r="D130" t="s">
        <v>400</v>
      </c>
      <c r="E130" t="s">
        <v>36</v>
      </c>
      <c r="F130">
        <v>220</v>
      </c>
      <c r="G130">
        <v>1.608539884</v>
      </c>
      <c r="H130" s="1" t="s">
        <v>118</v>
      </c>
      <c r="I130" s="14">
        <v>0</v>
      </c>
    </row>
    <row r="131" spans="1:9" x14ac:dyDescent="0.25">
      <c r="A131">
        <v>130</v>
      </c>
      <c r="B131" t="s">
        <v>129</v>
      </c>
      <c r="C131" t="s">
        <v>15</v>
      </c>
      <c r="D131" t="s">
        <v>400</v>
      </c>
      <c r="E131" t="s">
        <v>82</v>
      </c>
      <c r="F131">
        <v>219</v>
      </c>
      <c r="G131">
        <v>1.60122834</v>
      </c>
      <c r="H131" s="1" t="s">
        <v>130</v>
      </c>
      <c r="I131" s="14">
        <v>0</v>
      </c>
    </row>
    <row r="132" spans="1:9" x14ac:dyDescent="0.25">
      <c r="A132">
        <v>131</v>
      </c>
      <c r="B132" t="s">
        <v>141</v>
      </c>
      <c r="C132" t="s">
        <v>15</v>
      </c>
      <c r="D132" t="s">
        <v>400</v>
      </c>
      <c r="E132" t="s">
        <v>36</v>
      </c>
      <c r="F132">
        <v>252</v>
      </c>
      <c r="G132">
        <v>1.8425093219999999</v>
      </c>
      <c r="H132" s="1" t="s">
        <v>142</v>
      </c>
      <c r="I132" s="14">
        <v>0</v>
      </c>
    </row>
    <row r="133" spans="1:9" x14ac:dyDescent="0.25">
      <c r="A133">
        <v>132</v>
      </c>
      <c r="B133" t="s">
        <v>153</v>
      </c>
      <c r="C133" t="s">
        <v>15</v>
      </c>
      <c r="D133" t="s">
        <v>400</v>
      </c>
      <c r="E133" t="s">
        <v>36</v>
      </c>
      <c r="F133">
        <v>452</v>
      </c>
      <c r="G133">
        <v>3.3048183080000002</v>
      </c>
      <c r="H133" s="1" t="s">
        <v>154</v>
      </c>
      <c r="I133" s="14">
        <v>0</v>
      </c>
    </row>
    <row r="134" spans="1:9" x14ac:dyDescent="0.25">
      <c r="A134">
        <v>133</v>
      </c>
      <c r="B134" t="s">
        <v>163</v>
      </c>
      <c r="C134" t="s">
        <v>15</v>
      </c>
      <c r="D134" t="s">
        <v>400</v>
      </c>
      <c r="E134" t="s">
        <v>36</v>
      </c>
      <c r="F134">
        <v>566</v>
      </c>
      <c r="G134">
        <v>4.1383344299999996</v>
      </c>
      <c r="H134" s="1" t="s">
        <v>164</v>
      </c>
      <c r="I134" s="14">
        <v>0</v>
      </c>
    </row>
    <row r="135" spans="1:9" x14ac:dyDescent="0.25">
      <c r="A135">
        <v>134</v>
      </c>
      <c r="B135" t="s">
        <v>76</v>
      </c>
      <c r="C135" t="s">
        <v>15</v>
      </c>
      <c r="D135" t="s">
        <v>400</v>
      </c>
      <c r="E135" t="s">
        <v>36</v>
      </c>
      <c r="F135">
        <v>12419</v>
      </c>
      <c r="G135">
        <v>90.802076479999997</v>
      </c>
      <c r="H135" s="1" t="s">
        <v>77</v>
      </c>
      <c r="I135" s="14">
        <v>0</v>
      </c>
    </row>
    <row r="136" spans="1:9" x14ac:dyDescent="0.25">
      <c r="A136">
        <v>135</v>
      </c>
      <c r="B136" t="s">
        <v>89</v>
      </c>
      <c r="C136" t="s">
        <v>15</v>
      </c>
      <c r="D136" t="s">
        <v>400</v>
      </c>
      <c r="E136" t="s">
        <v>36</v>
      </c>
      <c r="F136">
        <v>11556</v>
      </c>
      <c r="G136">
        <v>84.492213199999995</v>
      </c>
      <c r="H136" s="1" t="s">
        <v>90</v>
      </c>
      <c r="I136" s="14">
        <v>0</v>
      </c>
    </row>
    <row r="137" spans="1:9" x14ac:dyDescent="0.25">
      <c r="A137">
        <v>136</v>
      </c>
      <c r="B137" t="s">
        <v>101</v>
      </c>
      <c r="C137" t="s">
        <v>15</v>
      </c>
      <c r="D137" t="s">
        <v>400</v>
      </c>
      <c r="E137" t="s">
        <v>36</v>
      </c>
      <c r="F137">
        <v>11542</v>
      </c>
      <c r="G137">
        <v>84.389851579999998</v>
      </c>
      <c r="H137" s="1" t="s">
        <v>102</v>
      </c>
      <c r="I137" s="14">
        <v>0</v>
      </c>
    </row>
    <row r="138" spans="1:9" x14ac:dyDescent="0.25">
      <c r="A138">
        <v>137</v>
      </c>
      <c r="B138" t="s">
        <v>113</v>
      </c>
      <c r="C138" t="s">
        <v>15</v>
      </c>
      <c r="D138" t="s">
        <v>400</v>
      </c>
      <c r="E138" t="s">
        <v>36</v>
      </c>
      <c r="F138">
        <v>11542</v>
      </c>
      <c r="G138">
        <v>84.389851579999998</v>
      </c>
      <c r="H138" s="1" t="s">
        <v>114</v>
      </c>
      <c r="I138" s="14">
        <v>0</v>
      </c>
    </row>
    <row r="139" spans="1:9" x14ac:dyDescent="0.25">
      <c r="A139">
        <v>138</v>
      </c>
      <c r="B139" t="s">
        <v>125</v>
      </c>
      <c r="C139" t="s">
        <v>15</v>
      </c>
      <c r="D139" t="s">
        <v>400</v>
      </c>
      <c r="E139" t="s">
        <v>36</v>
      </c>
      <c r="F139">
        <v>11537</v>
      </c>
      <c r="G139">
        <v>84.35329385</v>
      </c>
      <c r="H139" s="1" t="s">
        <v>126</v>
      </c>
      <c r="I139" s="14">
        <v>0</v>
      </c>
    </row>
    <row r="140" spans="1:9" x14ac:dyDescent="0.25">
      <c r="A140">
        <v>139</v>
      </c>
      <c r="B140" t="s">
        <v>137</v>
      </c>
      <c r="C140" t="s">
        <v>15</v>
      </c>
      <c r="D140" t="s">
        <v>400</v>
      </c>
      <c r="E140" t="s">
        <v>36</v>
      </c>
      <c r="F140">
        <v>11543</v>
      </c>
      <c r="G140">
        <v>84.397163120000002</v>
      </c>
      <c r="H140" s="1" t="s">
        <v>138</v>
      </c>
      <c r="I140" s="14">
        <v>0</v>
      </c>
    </row>
    <row r="141" spans="1:9" x14ac:dyDescent="0.25">
      <c r="A141">
        <v>140</v>
      </c>
      <c r="B141" t="s">
        <v>149</v>
      </c>
      <c r="C141" t="s">
        <v>15</v>
      </c>
      <c r="D141" t="s">
        <v>400</v>
      </c>
      <c r="E141" t="s">
        <v>36</v>
      </c>
      <c r="F141">
        <v>11489</v>
      </c>
      <c r="G141">
        <v>84.002339689999999</v>
      </c>
      <c r="H141" s="1" t="s">
        <v>150</v>
      </c>
      <c r="I141" s="14">
        <v>0</v>
      </c>
    </row>
    <row r="142" spans="1:9" x14ac:dyDescent="0.25">
      <c r="A142">
        <v>141</v>
      </c>
      <c r="B142" t="s">
        <v>159</v>
      </c>
      <c r="C142" t="s">
        <v>15</v>
      </c>
      <c r="D142" t="s">
        <v>400</v>
      </c>
      <c r="E142" t="s">
        <v>36</v>
      </c>
      <c r="F142">
        <v>11461</v>
      </c>
      <c r="G142">
        <v>83.797616439999999</v>
      </c>
      <c r="H142" s="1" t="s">
        <v>160</v>
      </c>
      <c r="I142" s="14">
        <v>0</v>
      </c>
    </row>
    <row r="143" spans="1:9" ht="30" x14ac:dyDescent="0.25">
      <c r="A143">
        <v>142</v>
      </c>
      <c r="B143" t="s">
        <v>71</v>
      </c>
      <c r="C143" t="s">
        <v>47</v>
      </c>
      <c r="D143" t="s">
        <v>400</v>
      </c>
      <c r="E143" t="s">
        <v>56</v>
      </c>
      <c r="F143">
        <v>11818</v>
      </c>
      <c r="G143">
        <v>86.407837979999996</v>
      </c>
      <c r="H143" s="1" t="s">
        <v>72</v>
      </c>
      <c r="I143" s="14">
        <v>0</v>
      </c>
    </row>
    <row r="144" spans="1:9" ht="30" x14ac:dyDescent="0.25">
      <c r="A144">
        <v>143</v>
      </c>
      <c r="B144" t="s">
        <v>83</v>
      </c>
      <c r="C144" t="s">
        <v>47</v>
      </c>
      <c r="D144" t="s">
        <v>400</v>
      </c>
      <c r="E144" t="s">
        <v>85</v>
      </c>
      <c r="F144">
        <v>10685</v>
      </c>
      <c r="G144">
        <v>78.123857569999998</v>
      </c>
      <c r="H144" s="1" t="s">
        <v>84</v>
      </c>
      <c r="I144" s="14">
        <v>0</v>
      </c>
    </row>
    <row r="145" spans="1:9" ht="30" x14ac:dyDescent="0.25">
      <c r="A145">
        <v>144</v>
      </c>
      <c r="B145" t="s">
        <v>95</v>
      </c>
      <c r="C145" t="s">
        <v>47</v>
      </c>
      <c r="D145" t="s">
        <v>400</v>
      </c>
      <c r="E145" t="s">
        <v>97</v>
      </c>
      <c r="F145">
        <v>10765</v>
      </c>
      <c r="G145">
        <v>78.708781169999995</v>
      </c>
      <c r="H145" s="1" t="s">
        <v>96</v>
      </c>
      <c r="I145" s="14">
        <v>0</v>
      </c>
    </row>
    <row r="146" spans="1:9" ht="30" x14ac:dyDescent="0.25">
      <c r="A146">
        <v>145</v>
      </c>
      <c r="B146" t="s">
        <v>107</v>
      </c>
      <c r="C146" t="s">
        <v>47</v>
      </c>
      <c r="D146" t="s">
        <v>400</v>
      </c>
      <c r="E146" t="s">
        <v>109</v>
      </c>
      <c r="F146">
        <v>10941</v>
      </c>
      <c r="G146">
        <v>79.995613070000005</v>
      </c>
      <c r="H146" s="1" t="s">
        <v>108</v>
      </c>
      <c r="I146" s="14">
        <v>0</v>
      </c>
    </row>
    <row r="147" spans="1:9" ht="30" x14ac:dyDescent="0.25">
      <c r="A147">
        <v>146</v>
      </c>
      <c r="B147" t="s">
        <v>119</v>
      </c>
      <c r="C147" t="s">
        <v>47</v>
      </c>
      <c r="D147" t="s">
        <v>400</v>
      </c>
      <c r="E147" t="s">
        <v>121</v>
      </c>
      <c r="F147">
        <v>11067</v>
      </c>
      <c r="G147">
        <v>80.916867730000007</v>
      </c>
      <c r="H147" s="1" t="s">
        <v>120</v>
      </c>
      <c r="I147" s="14">
        <v>0</v>
      </c>
    </row>
    <row r="148" spans="1:9" ht="30" x14ac:dyDescent="0.25">
      <c r="A148">
        <v>147</v>
      </c>
      <c r="B148" t="s">
        <v>131</v>
      </c>
      <c r="C148" t="s">
        <v>47</v>
      </c>
      <c r="D148" t="s">
        <v>400</v>
      </c>
      <c r="E148" t="s">
        <v>133</v>
      </c>
      <c r="F148">
        <v>11182</v>
      </c>
      <c r="G148">
        <v>81.757695400000003</v>
      </c>
      <c r="H148" s="1" t="s">
        <v>132</v>
      </c>
      <c r="I148" s="14">
        <v>0</v>
      </c>
    </row>
    <row r="149" spans="1:9" ht="30" x14ac:dyDescent="0.25">
      <c r="A149">
        <v>148</v>
      </c>
      <c r="B149" t="s">
        <v>143</v>
      </c>
      <c r="C149" t="s">
        <v>47</v>
      </c>
      <c r="D149" t="s">
        <v>400</v>
      </c>
      <c r="E149" t="s">
        <v>145</v>
      </c>
      <c r="F149">
        <v>11256</v>
      </c>
      <c r="G149">
        <v>82.298749729999997</v>
      </c>
      <c r="H149" s="1" t="s">
        <v>144</v>
      </c>
      <c r="I149" s="14">
        <v>0</v>
      </c>
    </row>
    <row r="150" spans="1:9" ht="30" x14ac:dyDescent="0.25">
      <c r="A150">
        <v>149</v>
      </c>
      <c r="B150" t="s">
        <v>155</v>
      </c>
      <c r="C150" t="s">
        <v>47</v>
      </c>
      <c r="D150" t="s">
        <v>400</v>
      </c>
      <c r="E150" t="s">
        <v>51</v>
      </c>
      <c r="F150">
        <v>11312</v>
      </c>
      <c r="G150">
        <v>82.71</v>
      </c>
      <c r="H150" s="1" t="s">
        <v>156</v>
      </c>
      <c r="I150" s="14">
        <v>0</v>
      </c>
    </row>
    <row r="151" spans="1:9" ht="30" x14ac:dyDescent="0.25">
      <c r="A151">
        <v>150</v>
      </c>
      <c r="B151" t="s">
        <v>78</v>
      </c>
      <c r="C151" t="s">
        <v>15</v>
      </c>
      <c r="D151" t="s">
        <v>400</v>
      </c>
      <c r="E151" t="s">
        <v>36</v>
      </c>
      <c r="F151">
        <v>6800</v>
      </c>
      <c r="G151">
        <v>49.718505520000001</v>
      </c>
      <c r="H151" s="1" t="s">
        <v>79</v>
      </c>
      <c r="I151" s="14">
        <v>0</v>
      </c>
    </row>
    <row r="152" spans="1:9" ht="30" x14ac:dyDescent="0.25">
      <c r="A152">
        <v>151</v>
      </c>
      <c r="B152" t="s">
        <v>91</v>
      </c>
      <c r="C152" t="s">
        <v>15</v>
      </c>
      <c r="D152" t="s">
        <v>400</v>
      </c>
      <c r="E152" t="s">
        <v>36</v>
      </c>
      <c r="F152">
        <v>1800</v>
      </c>
      <c r="G152">
        <v>13.16078087</v>
      </c>
      <c r="H152" s="1" t="s">
        <v>92</v>
      </c>
      <c r="I152" s="14">
        <v>0</v>
      </c>
    </row>
    <row r="153" spans="1:9" ht="30" x14ac:dyDescent="0.25">
      <c r="A153">
        <v>152</v>
      </c>
      <c r="B153" t="s">
        <v>103</v>
      </c>
      <c r="C153" t="s">
        <v>15</v>
      </c>
      <c r="D153" t="s">
        <v>400</v>
      </c>
      <c r="E153" t="s">
        <v>36</v>
      </c>
      <c r="F153">
        <v>2030</v>
      </c>
      <c r="G153">
        <v>14.842436210000001</v>
      </c>
      <c r="H153" s="1" t="s">
        <v>104</v>
      </c>
      <c r="I153" s="14">
        <v>0</v>
      </c>
    </row>
    <row r="154" spans="1:9" ht="30" x14ac:dyDescent="0.25">
      <c r="A154">
        <v>153</v>
      </c>
      <c r="B154" t="s">
        <v>115</v>
      </c>
      <c r="C154" t="s">
        <v>15</v>
      </c>
      <c r="D154" t="s">
        <v>400</v>
      </c>
      <c r="E154" t="s">
        <v>36</v>
      </c>
      <c r="F154">
        <v>2356</v>
      </c>
      <c r="G154">
        <v>17.23</v>
      </c>
      <c r="H154" s="1" t="s">
        <v>116</v>
      </c>
      <c r="I154" s="14">
        <v>0</v>
      </c>
    </row>
    <row r="155" spans="1:9" ht="30" x14ac:dyDescent="0.25">
      <c r="A155">
        <v>154</v>
      </c>
      <c r="B155" t="s">
        <v>127</v>
      </c>
      <c r="C155" t="s">
        <v>15</v>
      </c>
      <c r="D155" t="s">
        <v>400</v>
      </c>
      <c r="E155" t="s">
        <v>36</v>
      </c>
      <c r="F155">
        <v>2150</v>
      </c>
      <c r="G155">
        <v>15.7198216</v>
      </c>
      <c r="H155" s="1" t="s">
        <v>128</v>
      </c>
      <c r="I155" s="14">
        <v>0</v>
      </c>
    </row>
    <row r="156" spans="1:9" ht="30" x14ac:dyDescent="0.25">
      <c r="A156">
        <v>155</v>
      </c>
      <c r="B156" t="s">
        <v>139</v>
      </c>
      <c r="C156" t="s">
        <v>15</v>
      </c>
      <c r="D156" t="s">
        <v>400</v>
      </c>
      <c r="E156" t="s">
        <v>36</v>
      </c>
      <c r="F156">
        <v>2143</v>
      </c>
      <c r="G156">
        <v>15.66864078</v>
      </c>
      <c r="H156" s="1" t="s">
        <v>140</v>
      </c>
      <c r="I156" s="14">
        <v>0</v>
      </c>
    </row>
    <row r="157" spans="1:9" ht="30" x14ac:dyDescent="0.25">
      <c r="A157">
        <v>156</v>
      </c>
      <c r="B157" t="s">
        <v>151</v>
      </c>
      <c r="C157" t="s">
        <v>15</v>
      </c>
      <c r="D157" t="s">
        <v>400</v>
      </c>
      <c r="E157" t="s">
        <v>36</v>
      </c>
      <c r="F157">
        <v>4424</v>
      </c>
      <c r="G157">
        <v>32.346274770000001</v>
      </c>
      <c r="H157" s="1" t="s">
        <v>152</v>
      </c>
      <c r="I157" s="14">
        <v>0</v>
      </c>
    </row>
    <row r="158" spans="1:9" ht="30" x14ac:dyDescent="0.25">
      <c r="A158">
        <v>157</v>
      </c>
      <c r="B158" t="s">
        <v>161</v>
      </c>
      <c r="C158" t="s">
        <v>15</v>
      </c>
      <c r="D158" t="s">
        <v>400</v>
      </c>
      <c r="E158" t="s">
        <v>36</v>
      </c>
      <c r="F158">
        <v>5080</v>
      </c>
      <c r="G158">
        <v>37.14264824</v>
      </c>
      <c r="H158" s="1" t="s">
        <v>162</v>
      </c>
      <c r="I158" s="14">
        <v>0</v>
      </c>
    </row>
    <row r="159" spans="1:9" x14ac:dyDescent="0.25">
      <c r="A159">
        <v>158</v>
      </c>
      <c r="B159" t="s">
        <v>350</v>
      </c>
      <c r="C159" t="s">
        <v>352</v>
      </c>
      <c r="D159" t="s">
        <v>400</v>
      </c>
      <c r="E159" t="s">
        <v>353</v>
      </c>
      <c r="F159">
        <v>13677</v>
      </c>
      <c r="G159">
        <v>100</v>
      </c>
      <c r="H159" s="1" t="s">
        <v>351</v>
      </c>
      <c r="I159" s="14">
        <v>0</v>
      </c>
    </row>
    <row r="160" spans="1:9" x14ac:dyDescent="0.25">
      <c r="A160">
        <v>159</v>
      </c>
      <c r="B160" t="s">
        <v>354</v>
      </c>
      <c r="C160" t="s">
        <v>352</v>
      </c>
      <c r="D160" t="s">
        <v>400</v>
      </c>
      <c r="E160" t="s">
        <v>356</v>
      </c>
      <c r="F160">
        <v>13677</v>
      </c>
      <c r="G160">
        <v>100</v>
      </c>
      <c r="H160" s="1" t="s">
        <v>355</v>
      </c>
      <c r="I160" s="14">
        <v>0</v>
      </c>
    </row>
  </sheetData>
  <conditionalFormatting sqref="I1:I160">
    <cfRule type="containsText" dxfId="16" priority="1" operator="containsText" text="1">
      <formula>NOT(ISERROR(SEARCH("1",I1)))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50B39-CF96-40BE-8BED-408355E6C9A9}">
  <dimension ref="A1:AA159"/>
  <sheetViews>
    <sheetView zoomScaleNormal="100" workbookViewId="0">
      <selection activeCell="C34" sqref="C34"/>
    </sheetView>
  </sheetViews>
  <sheetFormatPr defaultRowHeight="15" x14ac:dyDescent="0.25"/>
  <cols>
    <col min="2" max="2" width="37.28515625" customWidth="1"/>
    <col min="3" max="3" width="69" style="1" customWidth="1"/>
    <col min="4" max="4" width="8.85546875" customWidth="1"/>
    <col min="5" max="5" width="18.28515625" customWidth="1"/>
    <col min="6" max="6" width="10" customWidth="1"/>
    <col min="7" max="7" width="12.85546875" customWidth="1"/>
    <col min="8" max="8" width="9.140625" style="14"/>
    <col min="9" max="12" width="7" customWidth="1"/>
    <col min="13" max="13" width="13.7109375" style="14" bestFit="1" customWidth="1"/>
    <col min="14" max="14" width="10.5703125" customWidth="1"/>
    <col min="15" max="16" width="5.7109375" customWidth="1"/>
    <col min="17" max="17" width="5.7109375" style="4" customWidth="1"/>
    <col min="18" max="19" width="5.7109375" customWidth="1"/>
    <col min="20" max="20" width="7.85546875" customWidth="1"/>
    <col min="21" max="23" width="6.28515625" customWidth="1"/>
    <col min="24" max="24" width="10.7109375" customWidth="1"/>
    <col min="25" max="25" width="9.140625" customWidth="1"/>
    <col min="26" max="26" width="10.7109375" customWidth="1"/>
    <col min="27" max="27" width="5.28515625" customWidth="1"/>
    <col min="28" max="28" width="9.28515625" customWidth="1"/>
  </cols>
  <sheetData>
    <row r="1" spans="1:27" s="2" customFormat="1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3" t="s">
        <v>418</v>
      </c>
      <c r="I1" s="12" t="s">
        <v>447</v>
      </c>
      <c r="J1" s="12" t="s">
        <v>448</v>
      </c>
      <c r="K1" s="2" t="s">
        <v>445</v>
      </c>
      <c r="L1" s="2" t="s">
        <v>446</v>
      </c>
      <c r="M1" s="13" t="s">
        <v>423</v>
      </c>
      <c r="N1" s="2" t="s">
        <v>400</v>
      </c>
      <c r="O1" s="2" t="s">
        <v>401</v>
      </c>
      <c r="P1" s="2" t="s">
        <v>402</v>
      </c>
      <c r="Q1" s="8" t="s">
        <v>403</v>
      </c>
      <c r="R1" s="2" t="s">
        <v>404</v>
      </c>
      <c r="S1" s="2" t="s">
        <v>416</v>
      </c>
      <c r="T1" s="2" t="s">
        <v>405</v>
      </c>
      <c r="U1" s="2" t="s">
        <v>406</v>
      </c>
      <c r="V1" s="2" t="s">
        <v>407</v>
      </c>
      <c r="W1" s="2" t="s">
        <v>417</v>
      </c>
      <c r="X1" s="2" t="s">
        <v>408</v>
      </c>
      <c r="Y1" s="2" t="s">
        <v>420</v>
      </c>
      <c r="Z1" s="2" t="s">
        <v>421</v>
      </c>
      <c r="AA1" s="2" t="s">
        <v>422</v>
      </c>
    </row>
    <row r="2" spans="1:27" x14ac:dyDescent="0.25">
      <c r="A2">
        <v>1</v>
      </c>
      <c r="B2" t="s">
        <v>7</v>
      </c>
      <c r="C2" s="1" t="s">
        <v>8</v>
      </c>
      <c r="D2" t="s">
        <v>9</v>
      </c>
      <c r="E2" t="s">
        <v>10</v>
      </c>
      <c r="F2">
        <v>13677</v>
      </c>
      <c r="G2">
        <v>100</v>
      </c>
      <c r="H2" s="14">
        <v>0</v>
      </c>
      <c r="K2">
        <v>0</v>
      </c>
      <c r="L2">
        <v>0</v>
      </c>
      <c r="M2" s="14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5">
      <c r="A3">
        <v>2</v>
      </c>
      <c r="B3" t="s">
        <v>11</v>
      </c>
      <c r="C3" s="1" t="s">
        <v>12</v>
      </c>
      <c r="D3" t="s">
        <v>9</v>
      </c>
      <c r="E3" t="s">
        <v>10</v>
      </c>
      <c r="F3">
        <v>13677</v>
      </c>
      <c r="G3">
        <v>100</v>
      </c>
      <c r="H3" s="14">
        <v>0</v>
      </c>
      <c r="I3" s="12"/>
      <c r="J3" s="12"/>
      <c r="K3">
        <v>0</v>
      </c>
      <c r="L3">
        <v>0</v>
      </c>
      <c r="M3" s="14">
        <v>0</v>
      </c>
      <c r="N3">
        <v>0</v>
      </c>
      <c r="O3">
        <v>0</v>
      </c>
      <c r="P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f t="shared" ref="W3:W28" si="0">SUM(O3:P3,S3:V3)</f>
        <v>0</v>
      </c>
      <c r="X3">
        <v>0</v>
      </c>
      <c r="Y3">
        <v>0</v>
      </c>
      <c r="Z3">
        <v>0</v>
      </c>
      <c r="AA3">
        <v>0</v>
      </c>
    </row>
    <row r="4" spans="1:27" ht="30" x14ac:dyDescent="0.25">
      <c r="A4">
        <v>3</v>
      </c>
      <c r="B4" t="s">
        <v>409</v>
      </c>
      <c r="C4" s="1" t="s">
        <v>410</v>
      </c>
      <c r="D4" t="s">
        <v>352</v>
      </c>
      <c r="E4" s="5" t="s">
        <v>411</v>
      </c>
      <c r="F4">
        <v>13677</v>
      </c>
      <c r="G4">
        <v>100</v>
      </c>
      <c r="H4" s="14">
        <v>1</v>
      </c>
      <c r="I4">
        <v>2.4121829774230719E-3</v>
      </c>
      <c r="J4">
        <v>6.2029752880334854E-3</v>
      </c>
      <c r="K4" s="9">
        <v>1</v>
      </c>
      <c r="L4" s="9">
        <v>1</v>
      </c>
      <c r="M4" s="14">
        <v>1</v>
      </c>
      <c r="N4">
        <v>0</v>
      </c>
      <c r="O4">
        <v>1</v>
      </c>
      <c r="P4">
        <v>1</v>
      </c>
      <c r="Q4" s="6">
        <v>35</v>
      </c>
      <c r="R4" s="7">
        <v>5.5250000000000004E-3</v>
      </c>
      <c r="S4">
        <v>0</v>
      </c>
      <c r="T4">
        <v>0</v>
      </c>
      <c r="U4">
        <v>0</v>
      </c>
      <c r="V4">
        <v>0</v>
      </c>
      <c r="W4">
        <f t="shared" si="0"/>
        <v>2</v>
      </c>
      <c r="X4">
        <v>1</v>
      </c>
      <c r="Y4">
        <v>1</v>
      </c>
      <c r="Z4">
        <v>1</v>
      </c>
      <c r="AA4">
        <v>1</v>
      </c>
    </row>
    <row r="5" spans="1:27" ht="30" x14ac:dyDescent="0.25">
      <c r="A5">
        <v>4</v>
      </c>
      <c r="B5" t="s">
        <v>412</v>
      </c>
      <c r="C5" s="1" t="s">
        <v>413</v>
      </c>
      <c r="D5" t="s">
        <v>352</v>
      </c>
      <c r="E5" s="5" t="s">
        <v>414</v>
      </c>
      <c r="F5">
        <v>13677</v>
      </c>
      <c r="G5">
        <v>100</v>
      </c>
      <c r="H5" s="14">
        <v>1</v>
      </c>
      <c r="I5">
        <v>3.0974233523011212E-3</v>
      </c>
      <c r="J5">
        <v>8.012823760509491E-3</v>
      </c>
      <c r="K5" s="9">
        <v>1</v>
      </c>
      <c r="L5" s="9">
        <v>1</v>
      </c>
      <c r="M5" s="14">
        <v>1</v>
      </c>
      <c r="N5">
        <v>0</v>
      </c>
      <c r="O5">
        <v>1</v>
      </c>
      <c r="P5">
        <v>1</v>
      </c>
      <c r="Q5" s="6">
        <v>33</v>
      </c>
      <c r="R5" s="7">
        <v>8.0260000000000001E-3</v>
      </c>
      <c r="S5">
        <v>0</v>
      </c>
      <c r="T5">
        <v>0</v>
      </c>
      <c r="U5">
        <v>0</v>
      </c>
      <c r="V5">
        <v>0</v>
      </c>
      <c r="W5">
        <f t="shared" si="0"/>
        <v>2</v>
      </c>
      <c r="X5">
        <v>1</v>
      </c>
      <c r="Y5">
        <v>1</v>
      </c>
      <c r="Z5">
        <v>1</v>
      </c>
      <c r="AA5">
        <v>1</v>
      </c>
    </row>
    <row r="6" spans="1:27" x14ac:dyDescent="0.25">
      <c r="A6">
        <v>5</v>
      </c>
      <c r="B6" t="s">
        <v>13</v>
      </c>
      <c r="C6" s="1" t="s">
        <v>14</v>
      </c>
      <c r="D6" t="s">
        <v>15</v>
      </c>
      <c r="E6" t="s">
        <v>16</v>
      </c>
      <c r="F6">
        <v>11596</v>
      </c>
      <c r="G6">
        <v>84.784674999999993</v>
      </c>
      <c r="H6" s="14">
        <v>1</v>
      </c>
      <c r="I6">
        <v>0.13310433924198151</v>
      </c>
      <c r="J6">
        <v>0.21077018976211551</v>
      </c>
      <c r="K6" s="9">
        <v>1</v>
      </c>
      <c r="L6" s="9">
        <v>1</v>
      </c>
      <c r="M6" s="14">
        <v>1</v>
      </c>
      <c r="N6">
        <v>0</v>
      </c>
      <c r="O6">
        <v>1</v>
      </c>
      <c r="P6">
        <v>1</v>
      </c>
      <c r="Q6" s="6">
        <v>1</v>
      </c>
      <c r="R6" s="7">
        <v>0.222639</v>
      </c>
      <c r="S6" s="7">
        <v>1</v>
      </c>
      <c r="T6">
        <v>1</v>
      </c>
      <c r="U6">
        <v>0</v>
      </c>
      <c r="V6">
        <v>0</v>
      </c>
      <c r="W6">
        <f t="shared" si="0"/>
        <v>4</v>
      </c>
      <c r="X6">
        <v>1</v>
      </c>
      <c r="Y6">
        <v>1</v>
      </c>
      <c r="Z6">
        <v>1</v>
      </c>
      <c r="AA6">
        <v>1</v>
      </c>
    </row>
    <row r="7" spans="1:27" x14ac:dyDescent="0.25">
      <c r="A7">
        <v>6</v>
      </c>
      <c r="B7" t="s">
        <v>17</v>
      </c>
      <c r="C7" s="1" t="s">
        <v>18</v>
      </c>
      <c r="D7" t="s">
        <v>15</v>
      </c>
      <c r="E7" t="s">
        <v>19</v>
      </c>
      <c r="F7">
        <v>11596</v>
      </c>
      <c r="G7">
        <v>84.784674999999993</v>
      </c>
      <c r="H7" s="14">
        <v>1</v>
      </c>
      <c r="I7">
        <v>6.3109807670116416E-3</v>
      </c>
      <c r="J7">
        <v>0.18186002969741821</v>
      </c>
      <c r="K7" s="9">
        <v>1</v>
      </c>
      <c r="L7" s="9">
        <v>1</v>
      </c>
      <c r="M7" s="14">
        <v>1</v>
      </c>
      <c r="N7">
        <v>0</v>
      </c>
      <c r="O7">
        <v>1</v>
      </c>
      <c r="P7">
        <v>1</v>
      </c>
      <c r="Q7" s="6">
        <v>2</v>
      </c>
      <c r="R7" s="7">
        <v>0.16184699999999999</v>
      </c>
      <c r="S7" s="7">
        <v>1</v>
      </c>
      <c r="T7">
        <v>1</v>
      </c>
      <c r="U7">
        <v>1</v>
      </c>
      <c r="V7">
        <v>0</v>
      </c>
      <c r="W7">
        <f t="shared" si="0"/>
        <v>5</v>
      </c>
      <c r="X7">
        <v>1</v>
      </c>
      <c r="Y7">
        <v>1</v>
      </c>
      <c r="Z7">
        <v>1</v>
      </c>
      <c r="AA7">
        <v>1</v>
      </c>
    </row>
    <row r="8" spans="1:27" x14ac:dyDescent="0.25">
      <c r="A8">
        <v>7</v>
      </c>
      <c r="B8" t="s">
        <v>20</v>
      </c>
      <c r="C8" s="1" t="s">
        <v>21</v>
      </c>
      <c r="D8" t="s">
        <v>15</v>
      </c>
      <c r="E8" t="s">
        <v>22</v>
      </c>
      <c r="F8">
        <v>11596</v>
      </c>
      <c r="G8">
        <v>84.784674999999993</v>
      </c>
      <c r="H8" s="14">
        <v>1</v>
      </c>
      <c r="I8">
        <v>3.4916370641440149E-3</v>
      </c>
      <c r="J8">
        <v>1.0768852196633819E-2</v>
      </c>
      <c r="K8" s="9">
        <v>1</v>
      </c>
      <c r="L8" s="9">
        <v>1</v>
      </c>
      <c r="M8" s="14">
        <v>1</v>
      </c>
      <c r="N8">
        <v>0</v>
      </c>
      <c r="O8">
        <v>1</v>
      </c>
      <c r="P8">
        <v>1</v>
      </c>
      <c r="Q8" s="6">
        <v>29</v>
      </c>
      <c r="R8" s="7">
        <v>1.0222999999999999E-2</v>
      </c>
      <c r="S8" s="7">
        <v>0</v>
      </c>
      <c r="T8">
        <v>0</v>
      </c>
      <c r="U8">
        <v>1</v>
      </c>
      <c r="V8">
        <v>0</v>
      </c>
      <c r="W8">
        <f t="shared" si="0"/>
        <v>3</v>
      </c>
      <c r="X8">
        <v>1</v>
      </c>
      <c r="Y8">
        <v>1</v>
      </c>
      <c r="Z8">
        <v>1</v>
      </c>
      <c r="AA8">
        <v>1</v>
      </c>
    </row>
    <row r="9" spans="1:27" x14ac:dyDescent="0.25">
      <c r="A9">
        <v>8</v>
      </c>
      <c r="B9" t="s">
        <v>23</v>
      </c>
      <c r="C9" s="1" t="s">
        <v>24</v>
      </c>
      <c r="D9" t="s">
        <v>15</v>
      </c>
      <c r="E9" t="s">
        <v>25</v>
      </c>
      <c r="F9">
        <v>11032</v>
      </c>
      <c r="G9">
        <v>80.66</v>
      </c>
      <c r="H9" s="14">
        <v>1</v>
      </c>
      <c r="I9">
        <v>6.2827253714203826E-3</v>
      </c>
      <c r="J9">
        <v>1.6868779435753819E-2</v>
      </c>
      <c r="K9" s="9">
        <v>1</v>
      </c>
      <c r="L9" s="9">
        <v>1</v>
      </c>
      <c r="M9" s="14">
        <v>0</v>
      </c>
      <c r="N9">
        <v>0</v>
      </c>
      <c r="O9">
        <v>1</v>
      </c>
      <c r="P9">
        <v>1</v>
      </c>
      <c r="Q9" s="6">
        <v>13</v>
      </c>
      <c r="R9" s="7">
        <v>1.5618E-2</v>
      </c>
      <c r="S9" s="7">
        <v>0</v>
      </c>
      <c r="T9">
        <v>0</v>
      </c>
      <c r="U9">
        <v>1</v>
      </c>
      <c r="V9">
        <v>0</v>
      </c>
      <c r="W9">
        <f t="shared" si="0"/>
        <v>3</v>
      </c>
      <c r="X9">
        <v>1</v>
      </c>
      <c r="Y9">
        <v>1</v>
      </c>
      <c r="Z9">
        <v>1</v>
      </c>
      <c r="AA9">
        <v>1</v>
      </c>
    </row>
    <row r="10" spans="1:27" x14ac:dyDescent="0.25">
      <c r="A10">
        <v>9</v>
      </c>
      <c r="B10" t="s">
        <v>26</v>
      </c>
      <c r="C10" s="1" t="s">
        <v>27</v>
      </c>
      <c r="D10" t="s">
        <v>15</v>
      </c>
      <c r="E10" t="s">
        <v>22</v>
      </c>
      <c r="F10">
        <v>11596</v>
      </c>
      <c r="G10">
        <v>84.784674999999993</v>
      </c>
      <c r="H10" s="14">
        <v>0</v>
      </c>
      <c r="I10">
        <v>3.7098042666912079E-3</v>
      </c>
      <c r="K10">
        <v>0</v>
      </c>
      <c r="L10">
        <v>0</v>
      </c>
      <c r="M10" s="14">
        <v>0</v>
      </c>
      <c r="N10">
        <v>0</v>
      </c>
      <c r="O10">
        <v>0</v>
      </c>
      <c r="P10">
        <v>0</v>
      </c>
      <c r="R10">
        <v>0</v>
      </c>
      <c r="S10" s="7">
        <v>0</v>
      </c>
      <c r="T10">
        <v>0</v>
      </c>
      <c r="U10">
        <v>0</v>
      </c>
      <c r="V10">
        <v>0</v>
      </c>
      <c r="W10">
        <f t="shared" si="0"/>
        <v>0</v>
      </c>
      <c r="X10">
        <v>1</v>
      </c>
      <c r="Y10">
        <v>0</v>
      </c>
      <c r="Z10">
        <v>1</v>
      </c>
      <c r="AA10">
        <v>0</v>
      </c>
    </row>
    <row r="11" spans="1:27" x14ac:dyDescent="0.25">
      <c r="A11">
        <v>10</v>
      </c>
      <c r="B11" t="s">
        <v>28</v>
      </c>
      <c r="C11" s="1" t="s">
        <v>29</v>
      </c>
      <c r="D11" t="s">
        <v>15</v>
      </c>
      <c r="E11" t="s">
        <v>30</v>
      </c>
      <c r="F11">
        <v>11596</v>
      </c>
      <c r="G11">
        <v>84.784674999999993</v>
      </c>
      <c r="H11" s="14">
        <v>0</v>
      </c>
      <c r="I11">
        <v>9.8400451242923737E-3</v>
      </c>
      <c r="K11">
        <v>0</v>
      </c>
      <c r="L11">
        <v>0</v>
      </c>
      <c r="M11" s="14">
        <v>1</v>
      </c>
      <c r="N11">
        <v>0</v>
      </c>
      <c r="O11">
        <v>0</v>
      </c>
      <c r="P11">
        <v>0</v>
      </c>
      <c r="R11">
        <v>0</v>
      </c>
      <c r="S11" s="7">
        <v>0</v>
      </c>
      <c r="T11">
        <v>0</v>
      </c>
      <c r="U11">
        <v>1</v>
      </c>
      <c r="V11">
        <v>0</v>
      </c>
      <c r="W11">
        <f t="shared" si="0"/>
        <v>1</v>
      </c>
      <c r="X11">
        <v>1</v>
      </c>
      <c r="Y11">
        <v>0</v>
      </c>
      <c r="Z11">
        <v>1</v>
      </c>
      <c r="AA11">
        <v>0</v>
      </c>
    </row>
    <row r="12" spans="1:27" x14ac:dyDescent="0.25">
      <c r="A12">
        <v>11</v>
      </c>
      <c r="B12" t="s">
        <v>31</v>
      </c>
      <c r="C12" s="1" t="s">
        <v>32</v>
      </c>
      <c r="D12" t="s">
        <v>15</v>
      </c>
      <c r="E12" t="s">
        <v>33</v>
      </c>
      <c r="F12">
        <v>11596</v>
      </c>
      <c r="G12">
        <v>84.784674999999993</v>
      </c>
      <c r="H12" s="14">
        <v>0</v>
      </c>
      <c r="I12">
        <v>4.3580923229455948E-2</v>
      </c>
      <c r="K12">
        <v>0</v>
      </c>
      <c r="L12">
        <v>0</v>
      </c>
      <c r="M12" s="14">
        <v>0</v>
      </c>
      <c r="N12">
        <v>0</v>
      </c>
      <c r="O12">
        <v>0</v>
      </c>
      <c r="P12">
        <v>0</v>
      </c>
      <c r="R12">
        <v>0</v>
      </c>
      <c r="S12" s="7">
        <v>0</v>
      </c>
      <c r="T12">
        <v>1</v>
      </c>
      <c r="U12">
        <v>1</v>
      </c>
      <c r="V12">
        <v>0</v>
      </c>
      <c r="W12">
        <f t="shared" si="0"/>
        <v>2</v>
      </c>
      <c r="X12">
        <v>1</v>
      </c>
      <c r="Y12">
        <v>0</v>
      </c>
      <c r="Z12">
        <v>1</v>
      </c>
      <c r="AA12">
        <v>0</v>
      </c>
    </row>
    <row r="13" spans="1:27" x14ac:dyDescent="0.25">
      <c r="A13">
        <v>12</v>
      </c>
      <c r="B13" t="s">
        <v>34</v>
      </c>
      <c r="C13" s="1" t="s">
        <v>35</v>
      </c>
      <c r="D13" t="s">
        <v>15</v>
      </c>
      <c r="E13" t="s">
        <v>36</v>
      </c>
      <c r="F13">
        <v>11163</v>
      </c>
      <c r="G13">
        <v>81.618776049999994</v>
      </c>
      <c r="H13" s="14">
        <v>1</v>
      </c>
      <c r="I13">
        <v>4.8422561958432198E-3</v>
      </c>
      <c r="J13">
        <v>1.088807918131351E-2</v>
      </c>
      <c r="K13" s="9">
        <v>1</v>
      </c>
      <c r="L13" s="9">
        <v>1</v>
      </c>
      <c r="M13" s="14">
        <v>0</v>
      </c>
      <c r="N13">
        <v>0</v>
      </c>
      <c r="O13">
        <v>1</v>
      </c>
      <c r="P13">
        <v>1</v>
      </c>
      <c r="Q13" s="6">
        <v>28</v>
      </c>
      <c r="R13" s="7">
        <v>1.043E-2</v>
      </c>
      <c r="S13" s="7">
        <v>0</v>
      </c>
      <c r="T13">
        <v>0</v>
      </c>
      <c r="U13">
        <v>0</v>
      </c>
      <c r="V13">
        <v>0</v>
      </c>
      <c r="W13">
        <f t="shared" si="0"/>
        <v>2</v>
      </c>
      <c r="X13">
        <v>1</v>
      </c>
      <c r="Y13">
        <v>0</v>
      </c>
      <c r="Z13">
        <v>1</v>
      </c>
      <c r="AA13">
        <v>0</v>
      </c>
    </row>
    <row r="14" spans="1:27" x14ac:dyDescent="0.25">
      <c r="A14">
        <v>13</v>
      </c>
      <c r="B14" t="s">
        <v>37</v>
      </c>
      <c r="C14" s="1" t="s">
        <v>38</v>
      </c>
      <c r="D14" t="s">
        <v>15</v>
      </c>
      <c r="E14" t="s">
        <v>36</v>
      </c>
      <c r="F14">
        <v>3566</v>
      </c>
      <c r="G14">
        <v>26.072969220000001</v>
      </c>
      <c r="H14" s="14">
        <v>1</v>
      </c>
      <c r="I14">
        <v>1.244422420859337E-2</v>
      </c>
      <c r="J14">
        <v>2.65421885997057E-2</v>
      </c>
      <c r="K14" s="9">
        <v>1</v>
      </c>
      <c r="L14" s="9">
        <v>1</v>
      </c>
      <c r="M14" s="14">
        <v>1</v>
      </c>
      <c r="N14">
        <v>0</v>
      </c>
      <c r="O14">
        <v>1</v>
      </c>
      <c r="P14">
        <v>1</v>
      </c>
      <c r="Q14" s="6">
        <v>10</v>
      </c>
      <c r="R14" s="7">
        <v>2.0865999999999999E-2</v>
      </c>
      <c r="S14" s="7">
        <v>1</v>
      </c>
      <c r="T14">
        <v>0</v>
      </c>
      <c r="U14">
        <v>0</v>
      </c>
      <c r="V14">
        <v>0</v>
      </c>
      <c r="W14">
        <f t="shared" si="0"/>
        <v>3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>
        <v>14</v>
      </c>
      <c r="B15" t="s">
        <v>39</v>
      </c>
      <c r="C15" s="1" t="s">
        <v>40</v>
      </c>
      <c r="D15" t="s">
        <v>15</v>
      </c>
      <c r="E15" t="s">
        <v>41</v>
      </c>
      <c r="F15">
        <v>11596</v>
      </c>
      <c r="G15">
        <v>84.784674999999993</v>
      </c>
      <c r="H15" s="14">
        <v>1</v>
      </c>
      <c r="I15">
        <v>5.8340225368738166E-3</v>
      </c>
      <c r="J15">
        <v>1.340043731033802E-2</v>
      </c>
      <c r="K15" s="9">
        <v>1</v>
      </c>
      <c r="L15" s="9">
        <v>1</v>
      </c>
      <c r="M15" s="14">
        <v>1</v>
      </c>
      <c r="N15">
        <v>0</v>
      </c>
      <c r="O15">
        <v>1</v>
      </c>
      <c r="P15">
        <v>1</v>
      </c>
      <c r="Q15" s="6">
        <v>18</v>
      </c>
      <c r="R15" s="7">
        <v>1.2799E-2</v>
      </c>
      <c r="S15" s="7">
        <v>0</v>
      </c>
      <c r="T15">
        <v>0</v>
      </c>
      <c r="U15">
        <v>1</v>
      </c>
      <c r="V15">
        <v>0</v>
      </c>
      <c r="W15">
        <f t="shared" si="0"/>
        <v>3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>
        <v>15</v>
      </c>
      <c r="B16" t="s">
        <v>42</v>
      </c>
      <c r="C16" s="1" t="s">
        <v>43</v>
      </c>
      <c r="D16" t="s">
        <v>15</v>
      </c>
      <c r="E16" t="s">
        <v>44</v>
      </c>
      <c r="F16">
        <v>11032</v>
      </c>
      <c r="G16">
        <v>80.66</v>
      </c>
      <c r="H16" s="14">
        <v>0</v>
      </c>
      <c r="I16">
        <v>4.7036311589181423E-3</v>
      </c>
      <c r="K16">
        <v>0</v>
      </c>
      <c r="L16">
        <v>0</v>
      </c>
      <c r="M16" s="14">
        <v>1</v>
      </c>
      <c r="N16">
        <v>0</v>
      </c>
      <c r="O16">
        <v>0</v>
      </c>
      <c r="P16">
        <v>0</v>
      </c>
      <c r="R16">
        <v>0</v>
      </c>
      <c r="S16" s="7">
        <v>0</v>
      </c>
      <c r="T16">
        <v>0</v>
      </c>
      <c r="U16">
        <v>1</v>
      </c>
      <c r="V16">
        <v>0</v>
      </c>
      <c r="W16">
        <f t="shared" si="0"/>
        <v>1</v>
      </c>
      <c r="X16">
        <v>1</v>
      </c>
      <c r="Y16">
        <v>0</v>
      </c>
      <c r="Z16">
        <v>1</v>
      </c>
      <c r="AA16">
        <v>0</v>
      </c>
    </row>
    <row r="17" spans="1:27" x14ac:dyDescent="0.25">
      <c r="A17">
        <v>16</v>
      </c>
      <c r="B17" t="s">
        <v>45</v>
      </c>
      <c r="C17" s="1" t="s">
        <v>46</v>
      </c>
      <c r="D17" t="s">
        <v>47</v>
      </c>
      <c r="E17" t="s">
        <v>48</v>
      </c>
      <c r="F17">
        <v>11473</v>
      </c>
      <c r="G17">
        <v>83.885354980000002</v>
      </c>
      <c r="H17" s="14">
        <v>1</v>
      </c>
      <c r="I17">
        <v>5.5063092149794102E-3</v>
      </c>
      <c r="J17">
        <v>1.8810136243700981E-2</v>
      </c>
      <c r="K17" s="9">
        <v>1</v>
      </c>
      <c r="L17" s="9">
        <v>1</v>
      </c>
      <c r="M17" s="14">
        <v>1</v>
      </c>
      <c r="N17">
        <v>0</v>
      </c>
      <c r="O17">
        <v>1</v>
      </c>
      <c r="P17">
        <v>1</v>
      </c>
      <c r="Q17" s="6">
        <v>12</v>
      </c>
      <c r="R17" s="7">
        <v>2.0337999999999998E-2</v>
      </c>
      <c r="S17" s="7">
        <v>0</v>
      </c>
      <c r="T17">
        <v>1</v>
      </c>
      <c r="U17">
        <v>1</v>
      </c>
      <c r="V17">
        <v>1</v>
      </c>
      <c r="W17">
        <f t="shared" si="0"/>
        <v>5</v>
      </c>
      <c r="X17">
        <v>1</v>
      </c>
      <c r="Y17">
        <v>1</v>
      </c>
      <c r="Z17">
        <v>1</v>
      </c>
      <c r="AA17">
        <v>1</v>
      </c>
    </row>
    <row r="18" spans="1:27" x14ac:dyDescent="0.25">
      <c r="A18">
        <v>17</v>
      </c>
      <c r="B18" t="s">
        <v>49</v>
      </c>
      <c r="C18" s="1" t="s">
        <v>50</v>
      </c>
      <c r="D18" t="s">
        <v>47</v>
      </c>
      <c r="E18" t="s">
        <v>51</v>
      </c>
      <c r="F18">
        <v>11312</v>
      </c>
      <c r="G18">
        <v>82.71</v>
      </c>
      <c r="H18" s="14">
        <v>0</v>
      </c>
      <c r="I18">
        <v>5.7358513586223134E-3</v>
      </c>
      <c r="K18">
        <v>0</v>
      </c>
      <c r="L18">
        <v>0</v>
      </c>
      <c r="M18" s="14">
        <v>0</v>
      </c>
      <c r="N18">
        <v>0</v>
      </c>
      <c r="O18">
        <v>0</v>
      </c>
      <c r="P18">
        <v>0</v>
      </c>
      <c r="R18">
        <v>0</v>
      </c>
      <c r="S18" s="7">
        <v>0</v>
      </c>
      <c r="T18">
        <v>1</v>
      </c>
      <c r="U18">
        <v>0</v>
      </c>
      <c r="V18">
        <v>1</v>
      </c>
      <c r="W18">
        <f t="shared" si="0"/>
        <v>2</v>
      </c>
      <c r="X18">
        <v>1</v>
      </c>
      <c r="Y18">
        <v>0</v>
      </c>
      <c r="Z18">
        <v>1</v>
      </c>
      <c r="AA18">
        <v>0</v>
      </c>
    </row>
    <row r="19" spans="1:27" ht="30" x14ac:dyDescent="0.25">
      <c r="A19">
        <v>18</v>
      </c>
      <c r="B19" t="s">
        <v>52</v>
      </c>
      <c r="C19" s="1" t="s">
        <v>53</v>
      </c>
      <c r="D19" t="s">
        <v>47</v>
      </c>
      <c r="E19" t="s">
        <v>54</v>
      </c>
      <c r="F19">
        <v>11357</v>
      </c>
      <c r="G19">
        <v>83.037215759999995</v>
      </c>
      <c r="H19" s="14">
        <v>0</v>
      </c>
      <c r="I19">
        <v>4.7966307029128066E-3</v>
      </c>
      <c r="J19">
        <v>1.1179866269230841E-2</v>
      </c>
      <c r="K19" s="9">
        <v>1</v>
      </c>
      <c r="L19" s="9">
        <v>1</v>
      </c>
      <c r="M19" s="14">
        <v>0</v>
      </c>
      <c r="N19">
        <v>0</v>
      </c>
      <c r="O19">
        <v>1</v>
      </c>
      <c r="P19">
        <v>1</v>
      </c>
      <c r="Q19" s="6">
        <v>27</v>
      </c>
      <c r="R19" s="7">
        <v>1.0777E-2</v>
      </c>
      <c r="S19" s="7">
        <v>0</v>
      </c>
      <c r="T19">
        <v>0</v>
      </c>
      <c r="U19">
        <v>0</v>
      </c>
      <c r="V19">
        <v>0</v>
      </c>
      <c r="W19">
        <f t="shared" si="0"/>
        <v>2</v>
      </c>
      <c r="X19">
        <v>1</v>
      </c>
      <c r="Y19">
        <v>0</v>
      </c>
      <c r="Z19">
        <v>1</v>
      </c>
      <c r="AA19">
        <v>0</v>
      </c>
    </row>
    <row r="20" spans="1:27" x14ac:dyDescent="0.25">
      <c r="A20">
        <v>19</v>
      </c>
      <c r="B20" t="s">
        <v>55</v>
      </c>
      <c r="C20" s="1" t="s">
        <v>419</v>
      </c>
      <c r="D20" t="s">
        <v>47</v>
      </c>
      <c r="E20" t="s">
        <v>56</v>
      </c>
      <c r="F20">
        <v>11473</v>
      </c>
      <c r="G20">
        <v>83.885354980000002</v>
      </c>
      <c r="H20" s="14">
        <v>1</v>
      </c>
      <c r="I20">
        <v>5.4908203892409801E-3</v>
      </c>
      <c r="K20">
        <v>0</v>
      </c>
      <c r="L20">
        <v>0</v>
      </c>
      <c r="M20" s="14">
        <v>0</v>
      </c>
      <c r="N20">
        <v>0</v>
      </c>
      <c r="O20">
        <v>0</v>
      </c>
      <c r="P20">
        <v>0</v>
      </c>
      <c r="R20">
        <v>0</v>
      </c>
      <c r="S20" s="7">
        <v>0</v>
      </c>
      <c r="T20">
        <v>1</v>
      </c>
      <c r="U20">
        <v>1</v>
      </c>
      <c r="V20">
        <v>1</v>
      </c>
      <c r="W20">
        <f t="shared" si="0"/>
        <v>3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>
        <v>20</v>
      </c>
      <c r="B21" t="s">
        <v>57</v>
      </c>
      <c r="C21" s="1" t="s">
        <v>58</v>
      </c>
      <c r="D21" t="s">
        <v>15</v>
      </c>
      <c r="E21" t="s">
        <v>36</v>
      </c>
      <c r="F21">
        <v>11461</v>
      </c>
      <c r="G21">
        <v>83.797616439999999</v>
      </c>
      <c r="H21" s="14">
        <v>1</v>
      </c>
      <c r="I21">
        <v>4.768887534737587E-3</v>
      </c>
      <c r="J21">
        <v>1.0268864221870899E-2</v>
      </c>
      <c r="K21" s="9">
        <v>1</v>
      </c>
      <c r="L21" s="9">
        <v>1</v>
      </c>
      <c r="M21" s="14">
        <v>0</v>
      </c>
      <c r="N21">
        <v>0</v>
      </c>
      <c r="O21">
        <v>1</v>
      </c>
      <c r="P21">
        <v>1</v>
      </c>
      <c r="Q21" s="6">
        <v>19</v>
      </c>
      <c r="R21" s="7">
        <v>1.26E-2</v>
      </c>
      <c r="S21" s="7">
        <v>0</v>
      </c>
      <c r="T21">
        <v>0</v>
      </c>
      <c r="U21">
        <v>0</v>
      </c>
      <c r="V21">
        <v>0</v>
      </c>
      <c r="W21">
        <f t="shared" si="0"/>
        <v>2</v>
      </c>
      <c r="X21">
        <v>1</v>
      </c>
      <c r="Y21">
        <v>0</v>
      </c>
      <c r="Z21">
        <v>1</v>
      </c>
      <c r="AA21">
        <v>0</v>
      </c>
    </row>
    <row r="22" spans="1:27" x14ac:dyDescent="0.25">
      <c r="A22">
        <v>21</v>
      </c>
      <c r="B22" t="s">
        <v>59</v>
      </c>
      <c r="C22" s="1" t="s">
        <v>60</v>
      </c>
      <c r="D22" t="s">
        <v>15</v>
      </c>
      <c r="E22" t="s">
        <v>36</v>
      </c>
      <c r="F22">
        <v>5080</v>
      </c>
      <c r="G22">
        <v>37.14264824</v>
      </c>
      <c r="H22" s="14">
        <v>1</v>
      </c>
      <c r="I22">
        <v>5.855268333107233E-3</v>
      </c>
      <c r="J22">
        <v>1.085011567920446E-2</v>
      </c>
      <c r="K22" s="9">
        <v>1</v>
      </c>
      <c r="L22" s="9">
        <v>1</v>
      </c>
      <c r="M22" s="14">
        <v>1</v>
      </c>
      <c r="N22">
        <v>0</v>
      </c>
      <c r="O22">
        <v>1</v>
      </c>
      <c r="P22">
        <v>1</v>
      </c>
      <c r="Q22" s="6">
        <v>30</v>
      </c>
      <c r="R22" s="7">
        <v>9.835E-3</v>
      </c>
      <c r="S22" s="7">
        <v>0</v>
      </c>
      <c r="T22">
        <v>0</v>
      </c>
      <c r="U22">
        <v>0</v>
      </c>
      <c r="V22">
        <v>0</v>
      </c>
      <c r="W22">
        <f t="shared" si="0"/>
        <v>2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>
        <v>22</v>
      </c>
      <c r="B23" t="s">
        <v>61</v>
      </c>
      <c r="C23" s="1" t="s">
        <v>62</v>
      </c>
      <c r="D23" t="s">
        <v>15</v>
      </c>
      <c r="E23" t="s">
        <v>36</v>
      </c>
      <c r="F23">
        <v>566</v>
      </c>
      <c r="G23">
        <v>4.1383344299999996</v>
      </c>
      <c r="H23" s="14">
        <v>1</v>
      </c>
      <c r="I23">
        <v>4.90910978987813E-3</v>
      </c>
      <c r="K23" s="9">
        <v>1</v>
      </c>
      <c r="L23">
        <v>0</v>
      </c>
      <c r="M23" s="14">
        <v>1</v>
      </c>
      <c r="N23">
        <v>0</v>
      </c>
      <c r="O23">
        <v>1</v>
      </c>
      <c r="P23">
        <v>0</v>
      </c>
      <c r="R23">
        <v>0</v>
      </c>
      <c r="S23" s="7">
        <v>0</v>
      </c>
      <c r="T23">
        <v>0</v>
      </c>
      <c r="U23">
        <v>0</v>
      </c>
      <c r="V23">
        <v>1</v>
      </c>
      <c r="W23">
        <f t="shared" si="0"/>
        <v>2</v>
      </c>
      <c r="X23">
        <v>1</v>
      </c>
      <c r="Y23">
        <v>1</v>
      </c>
      <c r="Z23">
        <v>1</v>
      </c>
      <c r="AA23">
        <v>1</v>
      </c>
    </row>
    <row r="24" spans="1:27" ht="45" x14ac:dyDescent="0.25">
      <c r="A24">
        <v>23</v>
      </c>
      <c r="B24" t="s">
        <v>63</v>
      </c>
      <c r="C24" s="1" t="s">
        <v>64</v>
      </c>
      <c r="D24" t="s">
        <v>15</v>
      </c>
      <c r="E24" t="s">
        <v>65</v>
      </c>
      <c r="F24">
        <v>11312</v>
      </c>
      <c r="G24">
        <v>82.71</v>
      </c>
      <c r="H24" s="14">
        <v>1</v>
      </c>
      <c r="I24">
        <v>2.297875285148621E-2</v>
      </c>
      <c r="J24">
        <v>8.2405805587768555E-2</v>
      </c>
      <c r="K24" s="9">
        <v>1</v>
      </c>
      <c r="L24" s="9">
        <v>1</v>
      </c>
      <c r="M24" s="14">
        <v>1</v>
      </c>
      <c r="N24">
        <v>0</v>
      </c>
      <c r="O24" s="9">
        <v>1</v>
      </c>
      <c r="P24">
        <v>1</v>
      </c>
      <c r="Q24" s="6">
        <v>3</v>
      </c>
      <c r="R24" s="7">
        <v>6.0456999999999997E-2</v>
      </c>
      <c r="S24" s="7">
        <v>1</v>
      </c>
      <c r="T24">
        <v>1</v>
      </c>
      <c r="U24">
        <v>1</v>
      </c>
      <c r="V24">
        <v>1</v>
      </c>
      <c r="W24">
        <f t="shared" si="0"/>
        <v>6</v>
      </c>
      <c r="X24">
        <v>1</v>
      </c>
      <c r="Y24">
        <v>1</v>
      </c>
      <c r="Z24">
        <v>1</v>
      </c>
      <c r="AA24">
        <v>1</v>
      </c>
    </row>
    <row r="25" spans="1:27" ht="30" x14ac:dyDescent="0.25">
      <c r="A25">
        <v>24</v>
      </c>
      <c r="B25" t="s">
        <v>66</v>
      </c>
      <c r="C25" s="1" t="s">
        <v>67</v>
      </c>
      <c r="D25" t="s">
        <v>47</v>
      </c>
      <c r="E25" t="s">
        <v>68</v>
      </c>
      <c r="F25">
        <v>715</v>
      </c>
      <c r="G25">
        <v>5.2277546250000002</v>
      </c>
      <c r="H25" s="14">
        <v>0</v>
      </c>
      <c r="I25">
        <v>7.7305375598371029E-3</v>
      </c>
      <c r="K25" s="9">
        <v>1</v>
      </c>
      <c r="L25">
        <v>0</v>
      </c>
      <c r="M25" s="14">
        <v>0</v>
      </c>
      <c r="N25">
        <v>0</v>
      </c>
      <c r="O25">
        <v>1</v>
      </c>
      <c r="P25">
        <v>0</v>
      </c>
      <c r="R25">
        <v>0</v>
      </c>
      <c r="S25" s="7">
        <v>0</v>
      </c>
      <c r="T25">
        <v>0</v>
      </c>
      <c r="U25">
        <v>0</v>
      </c>
      <c r="V25">
        <v>1</v>
      </c>
      <c r="W25">
        <f t="shared" si="0"/>
        <v>2</v>
      </c>
      <c r="X25">
        <v>1</v>
      </c>
      <c r="Y25">
        <v>0</v>
      </c>
      <c r="Z25">
        <v>1</v>
      </c>
      <c r="AA25">
        <v>0</v>
      </c>
    </row>
    <row r="26" spans="1:27" x14ac:dyDescent="0.25">
      <c r="A26">
        <v>25</v>
      </c>
      <c r="B26" t="s">
        <v>69</v>
      </c>
      <c r="C26" s="1" t="s">
        <v>415</v>
      </c>
      <c r="D26" t="s">
        <v>47</v>
      </c>
      <c r="E26" t="s">
        <v>70</v>
      </c>
      <c r="F26">
        <v>11473</v>
      </c>
      <c r="G26">
        <v>83.885354980000002</v>
      </c>
      <c r="H26" s="14">
        <v>0</v>
      </c>
      <c r="I26">
        <v>0.20950345695018771</v>
      </c>
      <c r="K26">
        <v>0</v>
      </c>
      <c r="L26">
        <v>0</v>
      </c>
      <c r="M26" s="14">
        <v>1</v>
      </c>
      <c r="N26">
        <v>0</v>
      </c>
      <c r="O26">
        <v>0</v>
      </c>
      <c r="P26">
        <v>0</v>
      </c>
      <c r="R26">
        <v>0</v>
      </c>
      <c r="S26" s="7">
        <v>0</v>
      </c>
      <c r="T26">
        <v>1</v>
      </c>
      <c r="U26">
        <v>1</v>
      </c>
      <c r="V26">
        <v>1</v>
      </c>
      <c r="W26">
        <f t="shared" si="0"/>
        <v>3</v>
      </c>
      <c r="X26">
        <v>1</v>
      </c>
      <c r="Y26">
        <v>0</v>
      </c>
      <c r="Z26">
        <v>1</v>
      </c>
      <c r="AA26">
        <v>0</v>
      </c>
    </row>
    <row r="27" spans="1:27" x14ac:dyDescent="0.25">
      <c r="A27">
        <v>26</v>
      </c>
      <c r="B27" t="s">
        <v>165</v>
      </c>
      <c r="C27" s="1" t="s">
        <v>166</v>
      </c>
      <c r="D27" t="s">
        <v>167</v>
      </c>
      <c r="E27" t="s">
        <v>168</v>
      </c>
      <c r="F27">
        <v>13625</v>
      </c>
      <c r="G27">
        <v>99.619799659999998</v>
      </c>
      <c r="H27" s="14">
        <v>1</v>
      </c>
      <c r="I27">
        <v>5.1648681983351707E-3</v>
      </c>
      <c r="J27">
        <v>1.1519216932356359E-2</v>
      </c>
      <c r="K27" s="9">
        <v>1</v>
      </c>
      <c r="L27" s="9">
        <v>1</v>
      </c>
      <c r="M27" s="14">
        <v>1</v>
      </c>
      <c r="N27">
        <v>0</v>
      </c>
      <c r="O27">
        <v>1</v>
      </c>
      <c r="P27">
        <v>1</v>
      </c>
      <c r="Q27" s="6">
        <v>23</v>
      </c>
      <c r="R27" s="7">
        <v>1.1337E-2</v>
      </c>
      <c r="S27" s="7">
        <v>0</v>
      </c>
      <c r="T27">
        <v>1</v>
      </c>
      <c r="U27">
        <v>0</v>
      </c>
      <c r="V27">
        <v>0</v>
      </c>
      <c r="W27">
        <f t="shared" si="0"/>
        <v>3</v>
      </c>
      <c r="X27">
        <v>1</v>
      </c>
      <c r="Y27">
        <v>1</v>
      </c>
      <c r="Z27">
        <v>1</v>
      </c>
      <c r="AA27">
        <v>1</v>
      </c>
    </row>
    <row r="28" spans="1:27" x14ac:dyDescent="0.25">
      <c r="A28">
        <v>27</v>
      </c>
      <c r="B28" t="s">
        <v>169</v>
      </c>
      <c r="C28" s="1" t="s">
        <v>170</v>
      </c>
      <c r="D28" t="s">
        <v>167</v>
      </c>
      <c r="E28" t="s">
        <v>171</v>
      </c>
      <c r="F28">
        <v>13627</v>
      </c>
      <c r="G28">
        <v>99.634422749999999</v>
      </c>
      <c r="H28" s="14">
        <v>1</v>
      </c>
      <c r="I28">
        <v>5.0856559537351131E-3</v>
      </c>
      <c r="K28">
        <v>0</v>
      </c>
      <c r="L28">
        <v>0</v>
      </c>
      <c r="M28" s="14">
        <v>1</v>
      </c>
      <c r="N28">
        <v>0</v>
      </c>
      <c r="O28">
        <v>0</v>
      </c>
      <c r="P28">
        <v>0</v>
      </c>
      <c r="R28">
        <v>0</v>
      </c>
      <c r="S28" s="7">
        <v>0</v>
      </c>
      <c r="T28">
        <v>1</v>
      </c>
      <c r="U28">
        <v>0</v>
      </c>
      <c r="V28">
        <v>0</v>
      </c>
      <c r="W28">
        <f t="shared" si="0"/>
        <v>1</v>
      </c>
      <c r="X28">
        <v>1</v>
      </c>
      <c r="Y28">
        <v>1</v>
      </c>
      <c r="Z28">
        <v>1</v>
      </c>
      <c r="AA28">
        <v>1</v>
      </c>
    </row>
    <row r="29" spans="1:27" ht="30" x14ac:dyDescent="0.25">
      <c r="A29">
        <v>28</v>
      </c>
      <c r="B29" t="s">
        <v>428</v>
      </c>
      <c r="C29" s="1" t="s">
        <v>432</v>
      </c>
      <c r="D29" t="s">
        <v>174</v>
      </c>
      <c r="H29" s="14">
        <v>0</v>
      </c>
      <c r="I29">
        <v>2.478969469666481E-2</v>
      </c>
      <c r="K29">
        <v>0</v>
      </c>
      <c r="L29">
        <v>0</v>
      </c>
      <c r="M29" s="14">
        <v>0</v>
      </c>
      <c r="S29" s="7"/>
    </row>
    <row r="30" spans="1:27" ht="30" x14ac:dyDescent="0.25">
      <c r="A30">
        <v>29</v>
      </c>
      <c r="B30" t="s">
        <v>429</v>
      </c>
      <c r="C30" s="1" t="s">
        <v>433</v>
      </c>
      <c r="D30" t="s">
        <v>174</v>
      </c>
      <c r="H30" s="14">
        <v>1</v>
      </c>
      <c r="I30">
        <v>1.8531244248151779E-2</v>
      </c>
      <c r="K30">
        <v>0</v>
      </c>
      <c r="L30">
        <v>0</v>
      </c>
      <c r="M30" s="14">
        <v>1</v>
      </c>
      <c r="S30" s="7"/>
    </row>
    <row r="31" spans="1:27" x14ac:dyDescent="0.25">
      <c r="A31">
        <v>30</v>
      </c>
      <c r="B31" t="s">
        <v>172</v>
      </c>
      <c r="C31" s="1" t="s">
        <v>173</v>
      </c>
      <c r="D31" t="s">
        <v>174</v>
      </c>
      <c r="E31" t="s">
        <v>175</v>
      </c>
      <c r="F31">
        <v>2137</v>
      </c>
      <c r="G31">
        <v>15.62477151</v>
      </c>
      <c r="H31" s="14">
        <v>1</v>
      </c>
      <c r="I31">
        <v>8.4715010598301888E-3</v>
      </c>
      <c r="J31">
        <v>2.464841865003109E-2</v>
      </c>
      <c r="K31" s="9">
        <v>1</v>
      </c>
      <c r="L31" s="9">
        <v>1</v>
      </c>
      <c r="M31" s="14">
        <v>1</v>
      </c>
      <c r="N31">
        <v>0</v>
      </c>
      <c r="O31">
        <v>1</v>
      </c>
      <c r="P31">
        <v>1</v>
      </c>
      <c r="Q31" s="6">
        <v>5</v>
      </c>
      <c r="R31" s="7">
        <v>4.8367E-2</v>
      </c>
      <c r="S31" s="7">
        <v>1</v>
      </c>
      <c r="T31">
        <v>0</v>
      </c>
      <c r="U31">
        <v>0</v>
      </c>
      <c r="V31">
        <v>0</v>
      </c>
      <c r="W31">
        <f t="shared" ref="W31:W73" si="1">SUM(O31:P31,S31:V31)</f>
        <v>3</v>
      </c>
      <c r="X31">
        <v>1</v>
      </c>
      <c r="Y31">
        <v>1</v>
      </c>
      <c r="Z31">
        <v>1</v>
      </c>
      <c r="AA31">
        <v>1</v>
      </c>
    </row>
    <row r="32" spans="1:27" x14ac:dyDescent="0.25">
      <c r="A32">
        <v>31</v>
      </c>
      <c r="B32" t="s">
        <v>227</v>
      </c>
      <c r="C32" s="1" t="s">
        <v>228</v>
      </c>
      <c r="D32" t="s">
        <v>174</v>
      </c>
      <c r="E32" t="s">
        <v>36</v>
      </c>
      <c r="F32">
        <v>2137</v>
      </c>
      <c r="G32">
        <v>15.62477151</v>
      </c>
      <c r="H32" s="14">
        <v>1</v>
      </c>
      <c r="I32">
        <v>9.1923931613564491E-3</v>
      </c>
      <c r="J32">
        <v>4.3243009597063058E-2</v>
      </c>
      <c r="K32" s="9">
        <v>1</v>
      </c>
      <c r="L32" s="9">
        <v>1</v>
      </c>
      <c r="M32" s="14">
        <v>1</v>
      </c>
      <c r="N32">
        <v>0</v>
      </c>
      <c r="O32">
        <v>1</v>
      </c>
      <c r="P32">
        <v>1</v>
      </c>
      <c r="Q32" s="6">
        <v>9</v>
      </c>
      <c r="R32" s="7">
        <v>2.1756999999999999E-2</v>
      </c>
      <c r="S32" s="7">
        <v>1</v>
      </c>
      <c r="T32">
        <v>0</v>
      </c>
      <c r="U32">
        <v>0</v>
      </c>
      <c r="V32">
        <v>0</v>
      </c>
      <c r="W32">
        <f t="shared" si="1"/>
        <v>3</v>
      </c>
      <c r="X32">
        <v>1</v>
      </c>
      <c r="Y32">
        <v>1</v>
      </c>
      <c r="Z32">
        <v>1</v>
      </c>
      <c r="AA32">
        <v>1</v>
      </c>
    </row>
    <row r="33" spans="1:27" x14ac:dyDescent="0.25">
      <c r="A33">
        <v>32</v>
      </c>
      <c r="B33" t="s">
        <v>200</v>
      </c>
      <c r="C33" s="1" t="s">
        <v>201</v>
      </c>
      <c r="D33" t="s">
        <v>174</v>
      </c>
      <c r="E33" t="s">
        <v>202</v>
      </c>
      <c r="F33">
        <v>2137</v>
      </c>
      <c r="G33">
        <v>15.62477151</v>
      </c>
      <c r="H33" s="14">
        <v>0</v>
      </c>
      <c r="I33">
        <v>6.8448320962488651E-3</v>
      </c>
      <c r="K33">
        <v>0</v>
      </c>
      <c r="L33">
        <v>0</v>
      </c>
      <c r="M33" s="14">
        <v>0</v>
      </c>
      <c r="N33">
        <v>0</v>
      </c>
      <c r="O33">
        <v>0</v>
      </c>
      <c r="P33">
        <v>0</v>
      </c>
      <c r="R33">
        <v>0</v>
      </c>
      <c r="S33" s="7">
        <v>0</v>
      </c>
      <c r="T33">
        <v>0</v>
      </c>
      <c r="U33">
        <v>1</v>
      </c>
      <c r="V33">
        <v>1</v>
      </c>
      <c r="W33">
        <f t="shared" si="1"/>
        <v>2</v>
      </c>
      <c r="X33">
        <v>1</v>
      </c>
      <c r="Y33">
        <v>0</v>
      </c>
      <c r="Z33">
        <v>1</v>
      </c>
      <c r="AA33">
        <v>0</v>
      </c>
    </row>
    <row r="34" spans="1:27" ht="30" x14ac:dyDescent="0.25">
      <c r="A34">
        <v>33</v>
      </c>
      <c r="B34" t="s">
        <v>248</v>
      </c>
      <c r="C34" s="1" t="s">
        <v>249</v>
      </c>
      <c r="D34" t="s">
        <v>174</v>
      </c>
      <c r="E34" t="s">
        <v>250</v>
      </c>
      <c r="F34">
        <v>2137</v>
      </c>
      <c r="G34">
        <v>15.62477151</v>
      </c>
      <c r="H34" s="14">
        <v>0</v>
      </c>
      <c r="I34">
        <v>0</v>
      </c>
      <c r="K34">
        <v>0</v>
      </c>
      <c r="L34">
        <v>0</v>
      </c>
      <c r="M34" s="14">
        <v>0</v>
      </c>
      <c r="N34">
        <v>0</v>
      </c>
      <c r="O34">
        <v>0</v>
      </c>
      <c r="P34">
        <v>0</v>
      </c>
      <c r="R34">
        <v>0</v>
      </c>
      <c r="S34" s="7">
        <v>0</v>
      </c>
      <c r="T34">
        <v>0</v>
      </c>
      <c r="U34">
        <v>0</v>
      </c>
      <c r="V34">
        <v>0</v>
      </c>
      <c r="W34">
        <f t="shared" si="1"/>
        <v>0</v>
      </c>
      <c r="X34">
        <v>1</v>
      </c>
      <c r="Y34">
        <v>0</v>
      </c>
      <c r="Z34">
        <v>1</v>
      </c>
      <c r="AA34">
        <v>0</v>
      </c>
    </row>
    <row r="35" spans="1:27" x14ac:dyDescent="0.25">
      <c r="A35">
        <v>34</v>
      </c>
      <c r="B35" t="s">
        <v>185</v>
      </c>
      <c r="C35" s="1" t="s">
        <v>186</v>
      </c>
      <c r="D35" t="s">
        <v>174</v>
      </c>
      <c r="E35" t="s">
        <v>187</v>
      </c>
      <c r="F35">
        <v>462</v>
      </c>
      <c r="G35">
        <v>3.3779337570000001</v>
      </c>
      <c r="H35" s="14">
        <v>1</v>
      </c>
      <c r="I35">
        <v>5.2414450328797102E-4</v>
      </c>
      <c r="J35">
        <v>7.8372899442911148E-3</v>
      </c>
      <c r="K35" s="9">
        <v>1</v>
      </c>
      <c r="L35" s="9">
        <v>1</v>
      </c>
      <c r="M35" s="14">
        <v>1</v>
      </c>
      <c r="N35">
        <v>0</v>
      </c>
      <c r="O35">
        <v>1</v>
      </c>
      <c r="P35">
        <v>1</v>
      </c>
      <c r="Q35" s="6">
        <v>31</v>
      </c>
      <c r="R35" s="7">
        <v>9.6399999999999993E-3</v>
      </c>
      <c r="S35" s="7">
        <v>0</v>
      </c>
      <c r="T35">
        <v>0</v>
      </c>
      <c r="U35">
        <v>0</v>
      </c>
      <c r="V35">
        <v>0</v>
      </c>
      <c r="W35">
        <f t="shared" si="1"/>
        <v>2</v>
      </c>
      <c r="X35">
        <v>1</v>
      </c>
      <c r="Y35">
        <v>1</v>
      </c>
      <c r="Z35">
        <v>1</v>
      </c>
      <c r="AA35">
        <v>1</v>
      </c>
    </row>
    <row r="36" spans="1:27" x14ac:dyDescent="0.25">
      <c r="A36">
        <v>35</v>
      </c>
      <c r="B36" t="s">
        <v>236</v>
      </c>
      <c r="C36" s="1" t="s">
        <v>237</v>
      </c>
      <c r="D36" t="s">
        <v>174</v>
      </c>
      <c r="E36" t="s">
        <v>36</v>
      </c>
      <c r="F36">
        <v>462</v>
      </c>
      <c r="G36">
        <v>3.3779337570000001</v>
      </c>
      <c r="H36" s="14">
        <v>0</v>
      </c>
      <c r="I36">
        <v>6.6345056984573603E-4</v>
      </c>
      <c r="J36">
        <v>2.9013212770223622E-3</v>
      </c>
      <c r="K36" s="9">
        <v>1</v>
      </c>
      <c r="L36" s="9">
        <v>1</v>
      </c>
      <c r="M36" s="14">
        <v>0</v>
      </c>
      <c r="N36">
        <v>0</v>
      </c>
      <c r="O36">
        <v>1</v>
      </c>
      <c r="P36">
        <v>1</v>
      </c>
      <c r="Q36" s="6">
        <v>38</v>
      </c>
      <c r="R36" s="7">
        <v>2.385E-3</v>
      </c>
      <c r="S36" s="7">
        <v>0</v>
      </c>
      <c r="T36">
        <v>0</v>
      </c>
      <c r="U36">
        <v>0</v>
      </c>
      <c r="V36">
        <v>0</v>
      </c>
      <c r="W36">
        <f t="shared" si="1"/>
        <v>2</v>
      </c>
      <c r="X36">
        <v>1</v>
      </c>
      <c r="Y36">
        <v>0</v>
      </c>
      <c r="Z36">
        <v>1</v>
      </c>
      <c r="AA36">
        <v>0</v>
      </c>
    </row>
    <row r="37" spans="1:27" x14ac:dyDescent="0.25">
      <c r="A37">
        <v>36</v>
      </c>
      <c r="B37" t="s">
        <v>212</v>
      </c>
      <c r="C37" s="1" t="s">
        <v>213</v>
      </c>
      <c r="D37" t="s">
        <v>174</v>
      </c>
      <c r="E37" t="s">
        <v>214</v>
      </c>
      <c r="F37">
        <v>462</v>
      </c>
      <c r="G37">
        <v>3.3779337570000001</v>
      </c>
      <c r="H37" s="14">
        <v>0</v>
      </c>
      <c r="I37">
        <v>1.770946983015165E-4</v>
      </c>
      <c r="K37">
        <v>0</v>
      </c>
      <c r="L37">
        <v>0</v>
      </c>
      <c r="M37" s="14">
        <v>0</v>
      </c>
      <c r="N37">
        <v>0</v>
      </c>
      <c r="O37">
        <v>0</v>
      </c>
      <c r="P37">
        <v>0</v>
      </c>
      <c r="R37">
        <v>0</v>
      </c>
      <c r="S37" s="7">
        <v>0</v>
      </c>
      <c r="T37">
        <v>0</v>
      </c>
      <c r="U37">
        <v>0</v>
      </c>
      <c r="V37">
        <v>1</v>
      </c>
      <c r="W37">
        <f t="shared" si="1"/>
        <v>1</v>
      </c>
      <c r="X37">
        <v>1</v>
      </c>
      <c r="Y37">
        <v>0</v>
      </c>
      <c r="Z37">
        <v>1</v>
      </c>
      <c r="AA37">
        <v>0</v>
      </c>
    </row>
    <row r="38" spans="1:27" x14ac:dyDescent="0.25">
      <c r="A38">
        <v>37</v>
      </c>
      <c r="B38" t="s">
        <v>258</v>
      </c>
      <c r="C38" s="1" t="s">
        <v>259</v>
      </c>
      <c r="D38" t="s">
        <v>174</v>
      </c>
      <c r="E38" t="s">
        <v>260</v>
      </c>
      <c r="F38">
        <v>462</v>
      </c>
      <c r="G38">
        <v>3.3779337570000001</v>
      </c>
      <c r="H38" s="14">
        <v>0</v>
      </c>
      <c r="I38">
        <v>7.8261233866214752E-3</v>
      </c>
      <c r="K38">
        <v>0</v>
      </c>
      <c r="L38">
        <v>0</v>
      </c>
      <c r="M38" s="14">
        <v>0</v>
      </c>
      <c r="N38">
        <v>0</v>
      </c>
      <c r="O38">
        <v>0</v>
      </c>
      <c r="P38">
        <v>0</v>
      </c>
      <c r="R38">
        <v>0</v>
      </c>
      <c r="S38" s="7">
        <v>0</v>
      </c>
      <c r="T38">
        <v>0</v>
      </c>
      <c r="U38">
        <v>0</v>
      </c>
      <c r="V38">
        <v>0</v>
      </c>
      <c r="W38">
        <f t="shared" si="1"/>
        <v>0</v>
      </c>
      <c r="X38">
        <v>1</v>
      </c>
      <c r="Y38">
        <v>0</v>
      </c>
      <c r="Z38">
        <v>1</v>
      </c>
      <c r="AA38">
        <v>0</v>
      </c>
    </row>
    <row r="39" spans="1:27" x14ac:dyDescent="0.25">
      <c r="A39">
        <v>38</v>
      </c>
      <c r="B39" t="s">
        <v>188</v>
      </c>
      <c r="C39" s="1" t="s">
        <v>189</v>
      </c>
      <c r="D39" t="s">
        <v>174</v>
      </c>
      <c r="E39" t="s">
        <v>190</v>
      </c>
      <c r="F39">
        <v>134</v>
      </c>
      <c r="G39">
        <v>0.979747021</v>
      </c>
      <c r="H39" s="14">
        <v>1</v>
      </c>
      <c r="I39">
        <v>2.6777107268571849E-3</v>
      </c>
      <c r="J39">
        <v>1.6651004552841191E-3</v>
      </c>
      <c r="K39" s="9">
        <v>1</v>
      </c>
      <c r="L39" s="9">
        <v>1</v>
      </c>
      <c r="M39" s="14">
        <v>1</v>
      </c>
      <c r="N39">
        <v>0</v>
      </c>
      <c r="O39">
        <v>1</v>
      </c>
      <c r="P39">
        <v>1</v>
      </c>
      <c r="Q39" s="6">
        <v>34</v>
      </c>
      <c r="R39" s="7">
        <v>6.8840000000000004E-3</v>
      </c>
      <c r="S39" s="7">
        <v>0</v>
      </c>
      <c r="T39">
        <v>0</v>
      </c>
      <c r="U39">
        <v>0</v>
      </c>
      <c r="V39">
        <v>0</v>
      </c>
      <c r="W39">
        <f t="shared" si="1"/>
        <v>2</v>
      </c>
      <c r="X39">
        <v>1</v>
      </c>
      <c r="Y39">
        <v>1</v>
      </c>
      <c r="Z39">
        <v>1</v>
      </c>
      <c r="AA39">
        <v>1</v>
      </c>
    </row>
    <row r="40" spans="1:27" ht="30" x14ac:dyDescent="0.25">
      <c r="A40">
        <v>39</v>
      </c>
      <c r="B40" t="s">
        <v>238</v>
      </c>
      <c r="C40" s="1" t="s">
        <v>239</v>
      </c>
      <c r="D40" t="s">
        <v>174</v>
      </c>
      <c r="E40" t="s">
        <v>36</v>
      </c>
      <c r="F40">
        <v>134</v>
      </c>
      <c r="G40">
        <v>0.979747021</v>
      </c>
      <c r="H40" s="14">
        <v>0</v>
      </c>
      <c r="I40">
        <v>4.7170676407404239E-4</v>
      </c>
      <c r="K40" s="9">
        <v>1</v>
      </c>
      <c r="L40">
        <v>0</v>
      </c>
      <c r="M40" s="14">
        <v>0</v>
      </c>
      <c r="N40">
        <v>0</v>
      </c>
      <c r="O40">
        <v>1</v>
      </c>
      <c r="P40">
        <v>0</v>
      </c>
      <c r="R40">
        <v>0</v>
      </c>
      <c r="S40" s="7">
        <v>0</v>
      </c>
      <c r="T40">
        <v>0</v>
      </c>
      <c r="U40">
        <v>0</v>
      </c>
      <c r="V40">
        <v>0</v>
      </c>
      <c r="W40">
        <f t="shared" si="1"/>
        <v>1</v>
      </c>
      <c r="X40">
        <v>1</v>
      </c>
      <c r="Y40">
        <v>0</v>
      </c>
      <c r="Z40">
        <v>1</v>
      </c>
      <c r="AA40">
        <v>0</v>
      </c>
    </row>
    <row r="41" spans="1:27" ht="30" x14ac:dyDescent="0.25">
      <c r="A41">
        <v>40</v>
      </c>
      <c r="B41" t="s">
        <v>215</v>
      </c>
      <c r="C41" s="1" t="s">
        <v>216</v>
      </c>
      <c r="D41" t="s">
        <v>174</v>
      </c>
      <c r="E41" t="s">
        <v>217</v>
      </c>
      <c r="F41">
        <v>134</v>
      </c>
      <c r="G41">
        <v>0.979747021</v>
      </c>
      <c r="H41" s="14">
        <v>0</v>
      </c>
      <c r="I41">
        <v>0</v>
      </c>
      <c r="K41">
        <v>0</v>
      </c>
      <c r="L41">
        <v>0</v>
      </c>
      <c r="M41" s="14">
        <v>0</v>
      </c>
      <c r="N41">
        <v>0</v>
      </c>
      <c r="O41">
        <v>0</v>
      </c>
      <c r="P41">
        <v>0</v>
      </c>
      <c r="R41">
        <v>0</v>
      </c>
      <c r="S41" s="7">
        <v>0</v>
      </c>
      <c r="T41">
        <v>0</v>
      </c>
      <c r="U41">
        <v>0</v>
      </c>
      <c r="V41">
        <v>1</v>
      </c>
      <c r="W41">
        <f t="shared" si="1"/>
        <v>1</v>
      </c>
      <c r="X41">
        <v>1</v>
      </c>
      <c r="Y41">
        <v>0</v>
      </c>
      <c r="Z41">
        <v>1</v>
      </c>
      <c r="AA41">
        <v>0</v>
      </c>
    </row>
    <row r="42" spans="1:27" ht="30" x14ac:dyDescent="0.25">
      <c r="A42">
        <v>41</v>
      </c>
      <c r="B42" t="s">
        <v>261</v>
      </c>
      <c r="C42" s="1" t="s">
        <v>262</v>
      </c>
      <c r="D42" t="s">
        <v>174</v>
      </c>
      <c r="E42" t="s">
        <v>263</v>
      </c>
      <c r="F42">
        <v>134</v>
      </c>
      <c r="G42">
        <v>0.979747021</v>
      </c>
      <c r="H42" s="14">
        <v>0</v>
      </c>
      <c r="I42">
        <v>0</v>
      </c>
      <c r="K42">
        <v>0</v>
      </c>
      <c r="L42">
        <v>0</v>
      </c>
      <c r="M42" s="14">
        <v>0</v>
      </c>
      <c r="N42">
        <v>0</v>
      </c>
      <c r="O42">
        <v>0</v>
      </c>
      <c r="P42">
        <v>0</v>
      </c>
      <c r="R42">
        <v>0</v>
      </c>
      <c r="S42" s="7">
        <v>0</v>
      </c>
      <c r="T42">
        <v>0</v>
      </c>
      <c r="U42">
        <v>1</v>
      </c>
      <c r="V42">
        <v>0</v>
      </c>
      <c r="W42">
        <f t="shared" si="1"/>
        <v>1</v>
      </c>
      <c r="X42">
        <v>1</v>
      </c>
      <c r="Y42">
        <v>0</v>
      </c>
      <c r="Z42">
        <v>1</v>
      </c>
      <c r="AA42">
        <v>0</v>
      </c>
    </row>
    <row r="43" spans="1:27" x14ac:dyDescent="0.25">
      <c r="A43">
        <v>42</v>
      </c>
      <c r="B43" t="s">
        <v>197</v>
      </c>
      <c r="C43" s="1" t="s">
        <v>198</v>
      </c>
      <c r="D43" t="s">
        <v>174</v>
      </c>
      <c r="E43" t="s">
        <v>199</v>
      </c>
      <c r="F43">
        <v>100</v>
      </c>
      <c r="G43">
        <v>0.73115449300000002</v>
      </c>
      <c r="H43" s="14">
        <v>0</v>
      </c>
      <c r="I43">
        <v>1.174824545159936E-3</v>
      </c>
      <c r="K43" s="9">
        <v>1</v>
      </c>
      <c r="L43">
        <v>0</v>
      </c>
      <c r="M43" s="14">
        <v>0</v>
      </c>
      <c r="N43">
        <v>0</v>
      </c>
      <c r="O43">
        <v>1</v>
      </c>
      <c r="P43">
        <v>0</v>
      </c>
      <c r="R43">
        <v>0</v>
      </c>
      <c r="S43" s="7">
        <v>0</v>
      </c>
      <c r="T43">
        <v>0</v>
      </c>
      <c r="U43">
        <v>0</v>
      </c>
      <c r="V43">
        <v>0</v>
      </c>
      <c r="W43">
        <f t="shared" si="1"/>
        <v>1</v>
      </c>
      <c r="X43">
        <v>1</v>
      </c>
      <c r="Y43">
        <v>0</v>
      </c>
      <c r="Z43">
        <v>1</v>
      </c>
      <c r="AA43">
        <v>0</v>
      </c>
    </row>
    <row r="44" spans="1:27" x14ac:dyDescent="0.25">
      <c r="A44">
        <v>43</v>
      </c>
      <c r="B44" t="s">
        <v>245</v>
      </c>
      <c r="C44" s="1" t="s">
        <v>246</v>
      </c>
      <c r="D44" t="s">
        <v>174</v>
      </c>
      <c r="E44" t="s">
        <v>247</v>
      </c>
      <c r="F44">
        <v>100</v>
      </c>
      <c r="G44">
        <v>0.73115449300000002</v>
      </c>
      <c r="H44" s="14">
        <v>0</v>
      </c>
      <c r="I44">
        <v>0</v>
      </c>
      <c r="K44">
        <v>0</v>
      </c>
      <c r="L44">
        <v>0</v>
      </c>
      <c r="M44" s="14">
        <v>0</v>
      </c>
      <c r="N44">
        <v>0</v>
      </c>
      <c r="O44">
        <v>0</v>
      </c>
      <c r="P44">
        <v>0</v>
      </c>
      <c r="R44">
        <v>0</v>
      </c>
      <c r="S44" s="7">
        <v>0</v>
      </c>
      <c r="T44">
        <v>0</v>
      </c>
      <c r="U44">
        <v>0</v>
      </c>
      <c r="V44">
        <v>0</v>
      </c>
      <c r="W44">
        <f t="shared" si="1"/>
        <v>0</v>
      </c>
      <c r="X44">
        <v>1</v>
      </c>
      <c r="Y44">
        <v>0</v>
      </c>
      <c r="Z44">
        <v>1</v>
      </c>
      <c r="AA44">
        <v>0</v>
      </c>
    </row>
    <row r="45" spans="1:27" x14ac:dyDescent="0.25">
      <c r="A45">
        <v>44</v>
      </c>
      <c r="B45" t="s">
        <v>224</v>
      </c>
      <c r="C45" s="1" t="s">
        <v>225</v>
      </c>
      <c r="D45" t="s">
        <v>174</v>
      </c>
      <c r="E45" t="s">
        <v>226</v>
      </c>
      <c r="F45">
        <v>100</v>
      </c>
      <c r="G45">
        <v>0.73115449300000002</v>
      </c>
      <c r="H45" s="14">
        <v>0</v>
      </c>
      <c r="I45">
        <v>1.3021737104281781E-3</v>
      </c>
      <c r="K45">
        <v>0</v>
      </c>
      <c r="L45">
        <v>0</v>
      </c>
      <c r="M45" s="14">
        <v>0</v>
      </c>
      <c r="N45">
        <v>0</v>
      </c>
      <c r="O45">
        <v>0</v>
      </c>
      <c r="P45">
        <v>0</v>
      </c>
      <c r="R45">
        <v>0</v>
      </c>
      <c r="S45" s="7">
        <v>0</v>
      </c>
      <c r="T45">
        <v>0</v>
      </c>
      <c r="U45">
        <v>0</v>
      </c>
      <c r="V45">
        <v>0</v>
      </c>
      <c r="W45">
        <f t="shared" si="1"/>
        <v>0</v>
      </c>
      <c r="X45">
        <v>1</v>
      </c>
      <c r="Y45">
        <v>0</v>
      </c>
      <c r="Z45">
        <v>1</v>
      </c>
      <c r="AA45">
        <v>0</v>
      </c>
    </row>
    <row r="46" spans="1:27" ht="30" x14ac:dyDescent="0.25">
      <c r="A46">
        <v>45</v>
      </c>
      <c r="B46" t="s">
        <v>269</v>
      </c>
      <c r="C46" s="1" t="s">
        <v>270</v>
      </c>
      <c r="D46" t="s">
        <v>174</v>
      </c>
      <c r="E46" t="s">
        <v>68</v>
      </c>
      <c r="F46">
        <v>100</v>
      </c>
      <c r="G46">
        <v>0.73115449300000002</v>
      </c>
      <c r="H46" s="14">
        <v>0</v>
      </c>
      <c r="I46">
        <v>0</v>
      </c>
      <c r="K46">
        <v>0</v>
      </c>
      <c r="L46">
        <v>0</v>
      </c>
      <c r="M46" s="14">
        <v>0</v>
      </c>
      <c r="N46">
        <v>0</v>
      </c>
      <c r="O46">
        <v>0</v>
      </c>
      <c r="P46">
        <v>0</v>
      </c>
      <c r="R46">
        <v>0</v>
      </c>
      <c r="S46" s="7">
        <v>0</v>
      </c>
      <c r="T46">
        <v>0</v>
      </c>
      <c r="U46">
        <v>0</v>
      </c>
      <c r="V46">
        <v>0</v>
      </c>
      <c r="W46">
        <f t="shared" si="1"/>
        <v>0</v>
      </c>
      <c r="X46">
        <v>1</v>
      </c>
      <c r="Y46">
        <v>0</v>
      </c>
      <c r="Z46">
        <v>1</v>
      </c>
      <c r="AA46">
        <v>0</v>
      </c>
    </row>
    <row r="47" spans="1:27" x14ac:dyDescent="0.25">
      <c r="A47">
        <v>46</v>
      </c>
      <c r="B47" t="s">
        <v>182</v>
      </c>
      <c r="C47" s="1" t="s">
        <v>183</v>
      </c>
      <c r="D47" t="s">
        <v>174</v>
      </c>
      <c r="E47" t="s">
        <v>184</v>
      </c>
      <c r="F47">
        <v>451</v>
      </c>
      <c r="G47">
        <v>3.2975067629999999</v>
      </c>
      <c r="H47" s="14">
        <v>1</v>
      </c>
      <c r="I47">
        <v>1.3751768507063391E-2</v>
      </c>
      <c r="J47">
        <v>3.1808461993932717E-2</v>
      </c>
      <c r="K47" s="9">
        <v>1</v>
      </c>
      <c r="L47" s="9">
        <v>1</v>
      </c>
      <c r="M47" s="14">
        <v>1</v>
      </c>
      <c r="N47">
        <v>0</v>
      </c>
      <c r="O47">
        <v>1</v>
      </c>
      <c r="P47">
        <v>1</v>
      </c>
      <c r="Q47" s="6">
        <v>8</v>
      </c>
      <c r="R47" s="7">
        <v>3.0994000000000001E-2</v>
      </c>
      <c r="S47" s="7">
        <v>1</v>
      </c>
      <c r="T47">
        <v>0</v>
      </c>
      <c r="U47">
        <v>0</v>
      </c>
      <c r="V47">
        <v>0</v>
      </c>
      <c r="W47">
        <f t="shared" si="1"/>
        <v>3</v>
      </c>
      <c r="X47">
        <v>1</v>
      </c>
      <c r="Y47">
        <v>1</v>
      </c>
      <c r="Z47">
        <v>1</v>
      </c>
      <c r="AA47">
        <v>1</v>
      </c>
    </row>
    <row r="48" spans="1:27" x14ac:dyDescent="0.25">
      <c r="A48">
        <v>47</v>
      </c>
      <c r="B48" t="s">
        <v>234</v>
      </c>
      <c r="C48" s="1" t="s">
        <v>235</v>
      </c>
      <c r="D48" t="s">
        <v>174</v>
      </c>
      <c r="E48" t="s">
        <v>36</v>
      </c>
      <c r="F48">
        <v>451</v>
      </c>
      <c r="G48">
        <v>3.2975067629999999</v>
      </c>
      <c r="H48" s="14">
        <v>0</v>
      </c>
      <c r="I48">
        <v>1.2268645688891411E-2</v>
      </c>
      <c r="K48">
        <v>0</v>
      </c>
      <c r="L48">
        <v>0</v>
      </c>
      <c r="M48" s="14">
        <v>0</v>
      </c>
      <c r="N48">
        <v>0</v>
      </c>
      <c r="O48">
        <v>0</v>
      </c>
      <c r="P48">
        <v>0</v>
      </c>
      <c r="R48">
        <v>0</v>
      </c>
      <c r="S48" s="7">
        <v>0</v>
      </c>
      <c r="T48">
        <v>0</v>
      </c>
      <c r="U48">
        <v>0</v>
      </c>
      <c r="V48">
        <v>0</v>
      </c>
      <c r="W48">
        <f t="shared" si="1"/>
        <v>0</v>
      </c>
      <c r="X48">
        <v>1</v>
      </c>
      <c r="Y48">
        <v>0</v>
      </c>
      <c r="Z48">
        <v>1</v>
      </c>
      <c r="AA48">
        <v>0</v>
      </c>
    </row>
    <row r="49" spans="1:27" x14ac:dyDescent="0.25">
      <c r="A49">
        <v>48</v>
      </c>
      <c r="B49" t="s">
        <v>209</v>
      </c>
      <c r="C49" s="1" t="s">
        <v>210</v>
      </c>
      <c r="D49" t="s">
        <v>174</v>
      </c>
      <c r="E49" t="s">
        <v>211</v>
      </c>
      <c r="F49">
        <v>451</v>
      </c>
      <c r="G49">
        <v>3.2975067629999999</v>
      </c>
      <c r="H49" s="14">
        <v>0</v>
      </c>
      <c r="I49">
        <v>1.280592288821936E-2</v>
      </c>
      <c r="K49">
        <v>0</v>
      </c>
      <c r="L49">
        <v>0</v>
      </c>
      <c r="M49" s="14">
        <v>0</v>
      </c>
      <c r="N49">
        <v>0</v>
      </c>
      <c r="O49">
        <v>0</v>
      </c>
      <c r="P49">
        <v>0</v>
      </c>
      <c r="R49">
        <v>0</v>
      </c>
      <c r="S49" s="7">
        <v>0</v>
      </c>
      <c r="T49">
        <v>0</v>
      </c>
      <c r="U49">
        <v>0</v>
      </c>
      <c r="V49">
        <v>0</v>
      </c>
      <c r="W49">
        <f t="shared" si="1"/>
        <v>0</v>
      </c>
      <c r="X49">
        <v>1</v>
      </c>
      <c r="Y49">
        <v>0</v>
      </c>
      <c r="Z49">
        <v>1</v>
      </c>
      <c r="AA49">
        <v>0</v>
      </c>
    </row>
    <row r="50" spans="1:27" ht="30" x14ac:dyDescent="0.25">
      <c r="A50">
        <v>49</v>
      </c>
      <c r="B50" t="s">
        <v>256</v>
      </c>
      <c r="C50" s="1" t="s">
        <v>257</v>
      </c>
      <c r="D50" t="s">
        <v>174</v>
      </c>
      <c r="E50" t="s">
        <v>250</v>
      </c>
      <c r="F50">
        <v>451</v>
      </c>
      <c r="G50">
        <v>3.2975067629999999</v>
      </c>
      <c r="H50" s="14">
        <v>0</v>
      </c>
      <c r="I50">
        <v>0</v>
      </c>
      <c r="K50">
        <v>0</v>
      </c>
      <c r="L50">
        <v>0</v>
      </c>
      <c r="M50" s="14">
        <v>0</v>
      </c>
      <c r="N50">
        <v>0</v>
      </c>
      <c r="O50">
        <v>0</v>
      </c>
      <c r="P50">
        <v>0</v>
      </c>
      <c r="R50">
        <v>0</v>
      </c>
      <c r="S50" s="7">
        <v>0</v>
      </c>
      <c r="T50">
        <v>0</v>
      </c>
      <c r="U50">
        <v>0</v>
      </c>
      <c r="V50">
        <v>0</v>
      </c>
      <c r="W50">
        <f t="shared" si="1"/>
        <v>0</v>
      </c>
      <c r="X50">
        <v>1</v>
      </c>
      <c r="Y50">
        <v>0</v>
      </c>
      <c r="Z50">
        <v>1</v>
      </c>
      <c r="AA50">
        <v>0</v>
      </c>
    </row>
    <row r="51" spans="1:27" x14ac:dyDescent="0.25">
      <c r="A51">
        <v>50</v>
      </c>
      <c r="B51" t="s">
        <v>179</v>
      </c>
      <c r="C51" s="1" t="s">
        <v>180</v>
      </c>
      <c r="D51" t="s">
        <v>174</v>
      </c>
      <c r="E51" t="s">
        <v>181</v>
      </c>
      <c r="F51">
        <v>221</v>
      </c>
      <c r="G51">
        <v>1.6158514289999999</v>
      </c>
      <c r="H51" s="14">
        <v>1</v>
      </c>
      <c r="I51">
        <v>5.9932619333267212E-3</v>
      </c>
      <c r="J51">
        <v>1.236929185688496E-2</v>
      </c>
      <c r="K51" s="9">
        <v>1</v>
      </c>
      <c r="L51" s="9">
        <v>1</v>
      </c>
      <c r="M51" s="14">
        <v>1</v>
      </c>
      <c r="N51">
        <v>0</v>
      </c>
      <c r="O51">
        <v>1</v>
      </c>
      <c r="P51">
        <v>1</v>
      </c>
      <c r="Q51" s="6">
        <v>15</v>
      </c>
      <c r="R51" s="7">
        <v>1.4777E-2</v>
      </c>
      <c r="S51" s="7">
        <v>0</v>
      </c>
      <c r="T51">
        <v>0</v>
      </c>
      <c r="U51">
        <v>0</v>
      </c>
      <c r="V51">
        <v>0</v>
      </c>
      <c r="W51">
        <f t="shared" si="1"/>
        <v>2</v>
      </c>
      <c r="X51">
        <v>1</v>
      </c>
      <c r="Y51">
        <v>1</v>
      </c>
      <c r="Z51">
        <v>1</v>
      </c>
      <c r="AA51">
        <v>1</v>
      </c>
    </row>
    <row r="52" spans="1:27" x14ac:dyDescent="0.25">
      <c r="A52">
        <v>51</v>
      </c>
      <c r="B52" t="s">
        <v>232</v>
      </c>
      <c r="C52" s="1" t="s">
        <v>233</v>
      </c>
      <c r="D52" t="s">
        <v>174</v>
      </c>
      <c r="E52" t="s">
        <v>231</v>
      </c>
      <c r="F52">
        <v>221</v>
      </c>
      <c r="G52">
        <v>1.6158514289999999</v>
      </c>
      <c r="H52" s="14">
        <v>0</v>
      </c>
      <c r="I52">
        <v>2.7596966829150919E-3</v>
      </c>
      <c r="K52">
        <v>0</v>
      </c>
      <c r="L52">
        <v>0</v>
      </c>
      <c r="M52" s="14">
        <v>1</v>
      </c>
      <c r="N52">
        <v>0</v>
      </c>
      <c r="O52">
        <v>0</v>
      </c>
      <c r="P52">
        <v>0</v>
      </c>
      <c r="R52">
        <v>0</v>
      </c>
      <c r="S52" s="7">
        <v>0</v>
      </c>
      <c r="T52">
        <v>0</v>
      </c>
      <c r="U52">
        <v>0</v>
      </c>
      <c r="V52">
        <v>0</v>
      </c>
      <c r="W52">
        <f t="shared" si="1"/>
        <v>0</v>
      </c>
      <c r="X52">
        <v>1</v>
      </c>
      <c r="Y52">
        <v>0</v>
      </c>
      <c r="Z52">
        <v>1</v>
      </c>
      <c r="AA52">
        <v>0</v>
      </c>
    </row>
    <row r="53" spans="1:27" x14ac:dyDescent="0.25">
      <c r="A53">
        <v>52</v>
      </c>
      <c r="B53" t="s">
        <v>206</v>
      </c>
      <c r="C53" s="1" t="s">
        <v>207</v>
      </c>
      <c r="D53" t="s">
        <v>174</v>
      </c>
      <c r="E53" t="s">
        <v>208</v>
      </c>
      <c r="F53">
        <v>221</v>
      </c>
      <c r="G53">
        <v>1.6158514289999999</v>
      </c>
      <c r="H53" s="14">
        <v>0</v>
      </c>
      <c r="I53">
        <v>5.5977967567741871E-3</v>
      </c>
      <c r="K53">
        <v>0</v>
      </c>
      <c r="L53">
        <v>0</v>
      </c>
      <c r="M53" s="14">
        <v>0</v>
      </c>
      <c r="N53">
        <v>0</v>
      </c>
      <c r="O53">
        <v>0</v>
      </c>
      <c r="P53">
        <v>0</v>
      </c>
      <c r="R53">
        <v>0</v>
      </c>
      <c r="S53" s="7">
        <v>0</v>
      </c>
      <c r="T53">
        <v>0</v>
      </c>
      <c r="U53">
        <v>0</v>
      </c>
      <c r="V53">
        <v>1</v>
      </c>
      <c r="W53">
        <f t="shared" si="1"/>
        <v>1</v>
      </c>
      <c r="X53">
        <v>1</v>
      </c>
      <c r="Y53">
        <v>0</v>
      </c>
      <c r="Z53">
        <v>1</v>
      </c>
      <c r="AA53">
        <v>0</v>
      </c>
    </row>
    <row r="54" spans="1:27" x14ac:dyDescent="0.25">
      <c r="A54">
        <v>53</v>
      </c>
      <c r="B54" t="s">
        <v>253</v>
      </c>
      <c r="C54" s="1" t="s">
        <v>254</v>
      </c>
      <c r="D54" t="s">
        <v>174</v>
      </c>
      <c r="E54" t="s">
        <v>255</v>
      </c>
      <c r="F54">
        <v>221</v>
      </c>
      <c r="G54">
        <v>1.6158514289999999</v>
      </c>
      <c r="H54" s="14">
        <v>0</v>
      </c>
      <c r="I54">
        <v>0</v>
      </c>
      <c r="K54">
        <v>0</v>
      </c>
      <c r="L54">
        <v>0</v>
      </c>
      <c r="M54" s="14">
        <v>0</v>
      </c>
      <c r="N54">
        <v>0</v>
      </c>
      <c r="O54">
        <v>0</v>
      </c>
      <c r="P54">
        <v>0</v>
      </c>
      <c r="R54">
        <v>0</v>
      </c>
      <c r="S54" s="7">
        <v>0</v>
      </c>
      <c r="T54">
        <v>0</v>
      </c>
      <c r="U54">
        <v>0</v>
      </c>
      <c r="V54">
        <v>0</v>
      </c>
      <c r="W54">
        <f t="shared" si="1"/>
        <v>0</v>
      </c>
      <c r="X54">
        <v>1</v>
      </c>
      <c r="Y54">
        <v>0</v>
      </c>
      <c r="Z54">
        <v>1</v>
      </c>
      <c r="AA54">
        <v>0</v>
      </c>
    </row>
    <row r="55" spans="1:27" x14ac:dyDescent="0.25">
      <c r="A55">
        <v>54</v>
      </c>
      <c r="B55" t="s">
        <v>176</v>
      </c>
      <c r="C55" s="1" t="s">
        <v>177</v>
      </c>
      <c r="D55" t="s">
        <v>174</v>
      </c>
      <c r="E55" t="s">
        <v>178</v>
      </c>
      <c r="F55">
        <v>696</v>
      </c>
      <c r="G55">
        <v>5.0888352709999998</v>
      </c>
      <c r="H55" s="14">
        <v>0</v>
      </c>
      <c r="I55">
        <v>3.6081662401556969E-3</v>
      </c>
      <c r="J55">
        <v>6.7038028500974178E-3</v>
      </c>
      <c r="K55" s="9">
        <v>1</v>
      </c>
      <c r="L55" s="9">
        <v>1</v>
      </c>
      <c r="M55" s="14">
        <v>0</v>
      </c>
      <c r="N55">
        <v>0</v>
      </c>
      <c r="O55">
        <v>1</v>
      </c>
      <c r="P55">
        <v>1</v>
      </c>
      <c r="Q55" s="6">
        <v>36</v>
      </c>
      <c r="R55" s="7">
        <v>5.2379999999999996E-3</v>
      </c>
      <c r="S55" s="7">
        <v>0</v>
      </c>
      <c r="T55">
        <v>0</v>
      </c>
      <c r="U55">
        <v>0</v>
      </c>
      <c r="V55">
        <v>0</v>
      </c>
      <c r="W55">
        <f t="shared" si="1"/>
        <v>2</v>
      </c>
      <c r="X55">
        <v>1</v>
      </c>
      <c r="Y55">
        <v>0</v>
      </c>
      <c r="Z55">
        <v>1</v>
      </c>
      <c r="AA55">
        <v>0</v>
      </c>
    </row>
    <row r="56" spans="1:27" x14ac:dyDescent="0.25">
      <c r="A56">
        <v>55</v>
      </c>
      <c r="B56" t="s">
        <v>229</v>
      </c>
      <c r="C56" s="1" t="s">
        <v>230</v>
      </c>
      <c r="D56" t="s">
        <v>174</v>
      </c>
      <c r="E56" t="s">
        <v>231</v>
      </c>
      <c r="F56">
        <v>696</v>
      </c>
      <c r="G56">
        <v>5.0888352709999998</v>
      </c>
      <c r="H56" s="14">
        <v>0</v>
      </c>
      <c r="I56">
        <v>3.0641919001936908E-3</v>
      </c>
      <c r="K56">
        <v>0</v>
      </c>
      <c r="L56">
        <v>0</v>
      </c>
      <c r="M56" s="14">
        <v>0</v>
      </c>
      <c r="N56">
        <v>0</v>
      </c>
      <c r="O56">
        <v>0</v>
      </c>
      <c r="P56">
        <v>0</v>
      </c>
      <c r="R56">
        <v>0</v>
      </c>
      <c r="S56" s="7">
        <v>0</v>
      </c>
      <c r="T56">
        <v>0</v>
      </c>
      <c r="U56">
        <v>0</v>
      </c>
      <c r="V56">
        <v>0</v>
      </c>
      <c r="W56">
        <f t="shared" si="1"/>
        <v>0</v>
      </c>
      <c r="X56">
        <v>1</v>
      </c>
      <c r="Y56">
        <v>0</v>
      </c>
      <c r="Z56">
        <v>1</v>
      </c>
      <c r="AA56">
        <v>0</v>
      </c>
    </row>
    <row r="57" spans="1:27" x14ac:dyDescent="0.25">
      <c r="A57">
        <v>56</v>
      </c>
      <c r="B57" t="s">
        <v>203</v>
      </c>
      <c r="C57" s="1" t="s">
        <v>204</v>
      </c>
      <c r="D57" t="s">
        <v>174</v>
      </c>
      <c r="E57" t="s">
        <v>205</v>
      </c>
      <c r="F57">
        <v>696</v>
      </c>
      <c r="G57">
        <v>5.0888352709999998</v>
      </c>
      <c r="H57" s="14">
        <v>0</v>
      </c>
      <c r="I57">
        <v>3.19883762858808E-3</v>
      </c>
      <c r="K57">
        <v>0</v>
      </c>
      <c r="L57">
        <v>0</v>
      </c>
      <c r="M57" s="14">
        <v>0</v>
      </c>
      <c r="N57">
        <v>0</v>
      </c>
      <c r="O57">
        <v>0</v>
      </c>
      <c r="P57">
        <v>0</v>
      </c>
      <c r="R57">
        <v>0</v>
      </c>
      <c r="S57" s="7">
        <v>0</v>
      </c>
      <c r="T57">
        <v>0</v>
      </c>
      <c r="U57">
        <v>0</v>
      </c>
      <c r="V57">
        <v>1</v>
      </c>
      <c r="W57">
        <f t="shared" si="1"/>
        <v>1</v>
      </c>
      <c r="X57">
        <v>1</v>
      </c>
      <c r="Y57">
        <v>0</v>
      </c>
      <c r="Z57">
        <v>1</v>
      </c>
      <c r="AA57">
        <v>0</v>
      </c>
    </row>
    <row r="58" spans="1:27" ht="30" x14ac:dyDescent="0.25">
      <c r="A58">
        <v>57</v>
      </c>
      <c r="B58" t="s">
        <v>251</v>
      </c>
      <c r="C58" s="1" t="s">
        <v>252</v>
      </c>
      <c r="D58" t="s">
        <v>174</v>
      </c>
      <c r="E58" t="s">
        <v>247</v>
      </c>
      <c r="F58">
        <v>696</v>
      </c>
      <c r="G58">
        <v>5.0888352709999998</v>
      </c>
      <c r="H58" s="14">
        <v>0</v>
      </c>
      <c r="I58">
        <v>0</v>
      </c>
      <c r="K58">
        <v>0</v>
      </c>
      <c r="L58">
        <v>0</v>
      </c>
      <c r="M58" s="14">
        <v>0</v>
      </c>
      <c r="N58">
        <v>0</v>
      </c>
      <c r="O58">
        <v>0</v>
      </c>
      <c r="P58">
        <v>0</v>
      </c>
      <c r="R58">
        <v>0</v>
      </c>
      <c r="S58" s="7">
        <v>0</v>
      </c>
      <c r="T58">
        <v>0</v>
      </c>
      <c r="U58">
        <v>0</v>
      </c>
      <c r="V58">
        <v>0</v>
      </c>
      <c r="W58">
        <f t="shared" si="1"/>
        <v>0</v>
      </c>
      <c r="X58">
        <v>1</v>
      </c>
      <c r="Y58">
        <v>0</v>
      </c>
      <c r="Z58">
        <v>1</v>
      </c>
      <c r="AA58">
        <v>0</v>
      </c>
    </row>
    <row r="59" spans="1:27" x14ac:dyDescent="0.25">
      <c r="A59">
        <v>58</v>
      </c>
      <c r="B59" t="s">
        <v>194</v>
      </c>
      <c r="C59" s="1" t="s">
        <v>195</v>
      </c>
      <c r="D59" t="s">
        <v>174</v>
      </c>
      <c r="E59" t="s">
        <v>196</v>
      </c>
      <c r="F59">
        <v>364</v>
      </c>
      <c r="G59">
        <v>2.6614023539999998</v>
      </c>
      <c r="H59" s="14">
        <v>0</v>
      </c>
      <c r="I59">
        <v>3.289029467850924E-3</v>
      </c>
      <c r="J59">
        <v>4.3874979019165039E-3</v>
      </c>
      <c r="K59" s="9">
        <v>1</v>
      </c>
      <c r="L59" s="9">
        <v>1</v>
      </c>
      <c r="M59" s="14">
        <v>0</v>
      </c>
      <c r="N59">
        <v>0</v>
      </c>
      <c r="O59">
        <v>1</v>
      </c>
      <c r="P59">
        <v>1</v>
      </c>
      <c r="Q59" s="6">
        <v>37</v>
      </c>
      <c r="R59" s="7">
        <v>3.0560000000000001E-3</v>
      </c>
      <c r="S59" s="7">
        <v>0</v>
      </c>
      <c r="T59">
        <v>0</v>
      </c>
      <c r="U59">
        <v>0</v>
      </c>
      <c r="V59">
        <v>0</v>
      </c>
      <c r="W59">
        <f t="shared" si="1"/>
        <v>2</v>
      </c>
      <c r="X59">
        <v>1</v>
      </c>
      <c r="Y59">
        <v>0</v>
      </c>
      <c r="Z59">
        <v>1</v>
      </c>
      <c r="AA59">
        <v>0</v>
      </c>
    </row>
    <row r="60" spans="1:27" x14ac:dyDescent="0.25">
      <c r="A60">
        <v>59</v>
      </c>
      <c r="B60" t="s">
        <v>242</v>
      </c>
      <c r="C60" s="1" t="s">
        <v>243</v>
      </c>
      <c r="D60" t="s">
        <v>174</v>
      </c>
      <c r="E60" t="s">
        <v>244</v>
      </c>
      <c r="F60">
        <v>364</v>
      </c>
      <c r="G60">
        <v>2.6614023539999998</v>
      </c>
      <c r="H60" s="14">
        <v>0</v>
      </c>
      <c r="I60">
        <v>1.8623570213094349E-3</v>
      </c>
      <c r="K60">
        <v>0</v>
      </c>
      <c r="L60">
        <v>0</v>
      </c>
      <c r="M60" s="14">
        <v>0</v>
      </c>
      <c r="N60">
        <v>0</v>
      </c>
      <c r="O60">
        <v>0</v>
      </c>
      <c r="P60">
        <v>0</v>
      </c>
      <c r="R60">
        <v>0</v>
      </c>
      <c r="S60" s="7">
        <v>0</v>
      </c>
      <c r="T60">
        <v>0</v>
      </c>
      <c r="U60">
        <v>0</v>
      </c>
      <c r="V60">
        <v>0</v>
      </c>
      <c r="W60">
        <f t="shared" si="1"/>
        <v>0</v>
      </c>
      <c r="X60">
        <v>1</v>
      </c>
      <c r="Y60">
        <v>0</v>
      </c>
      <c r="Z60">
        <v>1</v>
      </c>
      <c r="AA60">
        <v>0</v>
      </c>
    </row>
    <row r="61" spans="1:27" x14ac:dyDescent="0.25">
      <c r="A61">
        <v>60</v>
      </c>
      <c r="B61" t="s">
        <v>221</v>
      </c>
      <c r="C61" s="1" t="s">
        <v>222</v>
      </c>
      <c r="D61" t="s">
        <v>174</v>
      </c>
      <c r="E61" t="s">
        <v>223</v>
      </c>
      <c r="F61">
        <v>364</v>
      </c>
      <c r="G61">
        <v>2.6614023539999998</v>
      </c>
      <c r="H61" s="14">
        <v>0</v>
      </c>
      <c r="I61">
        <v>5.3186826407909393E-3</v>
      </c>
      <c r="K61">
        <v>0</v>
      </c>
      <c r="L61">
        <v>0</v>
      </c>
      <c r="M61" s="14">
        <v>0</v>
      </c>
      <c r="N61">
        <v>0</v>
      </c>
      <c r="O61">
        <v>0</v>
      </c>
      <c r="P61">
        <v>0</v>
      </c>
      <c r="R61">
        <v>0</v>
      </c>
      <c r="S61" s="7">
        <v>0</v>
      </c>
      <c r="T61">
        <v>0</v>
      </c>
      <c r="U61">
        <v>0</v>
      </c>
      <c r="V61">
        <v>0</v>
      </c>
      <c r="W61">
        <f t="shared" si="1"/>
        <v>0</v>
      </c>
      <c r="X61">
        <v>1</v>
      </c>
      <c r="Y61">
        <v>0</v>
      </c>
      <c r="Z61">
        <v>1</v>
      </c>
      <c r="AA61">
        <v>0</v>
      </c>
    </row>
    <row r="62" spans="1:27" ht="30" x14ac:dyDescent="0.25">
      <c r="A62">
        <v>61</v>
      </c>
      <c r="B62" t="s">
        <v>267</v>
      </c>
      <c r="C62" s="1" t="s">
        <v>268</v>
      </c>
      <c r="D62" t="s">
        <v>174</v>
      </c>
      <c r="E62" t="s">
        <v>247</v>
      </c>
      <c r="F62">
        <v>364</v>
      </c>
      <c r="G62">
        <v>2.6614023539999998</v>
      </c>
      <c r="H62" s="14">
        <v>0</v>
      </c>
      <c r="I62">
        <v>0</v>
      </c>
      <c r="K62">
        <v>0</v>
      </c>
      <c r="L62">
        <v>0</v>
      </c>
      <c r="M62" s="14">
        <v>0</v>
      </c>
      <c r="N62">
        <v>0</v>
      </c>
      <c r="O62">
        <v>0</v>
      </c>
      <c r="P62">
        <v>0</v>
      </c>
      <c r="R62">
        <v>0</v>
      </c>
      <c r="S62" s="7">
        <v>0</v>
      </c>
      <c r="T62">
        <v>0</v>
      </c>
      <c r="U62">
        <v>0</v>
      </c>
      <c r="V62">
        <v>0</v>
      </c>
      <c r="W62">
        <f t="shared" si="1"/>
        <v>0</v>
      </c>
      <c r="X62">
        <v>1</v>
      </c>
      <c r="Y62">
        <v>0</v>
      </c>
      <c r="Z62">
        <v>1</v>
      </c>
      <c r="AA62">
        <v>0</v>
      </c>
    </row>
    <row r="63" spans="1:27" x14ac:dyDescent="0.25">
      <c r="A63">
        <v>62</v>
      </c>
      <c r="B63" t="s">
        <v>191</v>
      </c>
      <c r="C63" s="1" t="s">
        <v>192</v>
      </c>
      <c r="D63" t="s">
        <v>174</v>
      </c>
      <c r="E63" t="s">
        <v>193</v>
      </c>
      <c r="F63">
        <v>2192</v>
      </c>
      <c r="G63">
        <v>16.026906489999998</v>
      </c>
      <c r="H63" s="14">
        <v>1</v>
      </c>
      <c r="I63">
        <v>3.9846594445407391E-3</v>
      </c>
      <c r="J63">
        <v>1.072867680341005E-2</v>
      </c>
      <c r="K63" s="9">
        <v>1</v>
      </c>
      <c r="L63" s="9">
        <v>1</v>
      </c>
      <c r="M63" s="14">
        <v>1</v>
      </c>
      <c r="N63">
        <v>0</v>
      </c>
      <c r="O63">
        <v>1</v>
      </c>
      <c r="P63">
        <v>1</v>
      </c>
      <c r="Q63" s="6">
        <v>26</v>
      </c>
      <c r="R63" s="7">
        <v>1.0869E-2</v>
      </c>
      <c r="S63" s="7">
        <v>0</v>
      </c>
      <c r="T63">
        <v>0</v>
      </c>
      <c r="U63">
        <v>1</v>
      </c>
      <c r="V63">
        <v>0</v>
      </c>
      <c r="W63">
        <f t="shared" si="1"/>
        <v>3</v>
      </c>
      <c r="X63">
        <v>1</v>
      </c>
      <c r="Y63">
        <v>1</v>
      </c>
      <c r="Z63">
        <v>1</v>
      </c>
      <c r="AA63">
        <v>1</v>
      </c>
    </row>
    <row r="64" spans="1:27" x14ac:dyDescent="0.25">
      <c r="A64">
        <v>63</v>
      </c>
      <c r="B64" t="s">
        <v>240</v>
      </c>
      <c r="C64" s="1" t="s">
        <v>241</v>
      </c>
      <c r="D64" t="s">
        <v>174</v>
      </c>
      <c r="E64" t="s">
        <v>36</v>
      </c>
      <c r="F64">
        <v>2192</v>
      </c>
      <c r="G64">
        <v>16.026906489999998</v>
      </c>
      <c r="H64" s="14">
        <v>0</v>
      </c>
      <c r="I64">
        <v>5.029450636357069E-3</v>
      </c>
      <c r="J64">
        <v>1.0247158817946911E-2</v>
      </c>
      <c r="K64" s="9">
        <v>1</v>
      </c>
      <c r="L64" s="9">
        <v>1</v>
      </c>
      <c r="M64" s="14">
        <v>0</v>
      </c>
      <c r="N64">
        <v>0</v>
      </c>
      <c r="O64">
        <v>1</v>
      </c>
      <c r="P64">
        <v>1</v>
      </c>
      <c r="Q64" s="6">
        <v>32</v>
      </c>
      <c r="R64" s="7">
        <v>9.0860000000000003E-3</v>
      </c>
      <c r="S64" s="7">
        <v>0</v>
      </c>
      <c r="T64">
        <v>0</v>
      </c>
      <c r="U64">
        <v>0</v>
      </c>
      <c r="V64">
        <v>0</v>
      </c>
      <c r="W64">
        <f t="shared" si="1"/>
        <v>2</v>
      </c>
      <c r="X64">
        <v>1</v>
      </c>
      <c r="Y64">
        <v>0</v>
      </c>
      <c r="Z64">
        <v>1</v>
      </c>
      <c r="AA64">
        <v>0</v>
      </c>
    </row>
    <row r="65" spans="1:27" x14ac:dyDescent="0.25">
      <c r="A65">
        <v>64</v>
      </c>
      <c r="B65" t="s">
        <v>218</v>
      </c>
      <c r="C65" s="1" t="s">
        <v>219</v>
      </c>
      <c r="D65" t="s">
        <v>174</v>
      </c>
      <c r="E65" t="s">
        <v>220</v>
      </c>
      <c r="F65">
        <v>2192</v>
      </c>
      <c r="G65">
        <v>16.026906489999998</v>
      </c>
      <c r="H65" s="14">
        <v>0</v>
      </c>
      <c r="I65">
        <v>4.3154861778020859E-3</v>
      </c>
      <c r="K65">
        <v>0</v>
      </c>
      <c r="L65">
        <v>0</v>
      </c>
      <c r="M65" s="14">
        <v>0</v>
      </c>
      <c r="N65">
        <v>0</v>
      </c>
      <c r="O65">
        <v>0</v>
      </c>
      <c r="P65">
        <v>0</v>
      </c>
      <c r="R65">
        <v>0</v>
      </c>
      <c r="S65" s="7">
        <v>0</v>
      </c>
      <c r="T65">
        <v>0</v>
      </c>
      <c r="U65">
        <v>0</v>
      </c>
      <c r="V65">
        <v>1</v>
      </c>
      <c r="W65">
        <f t="shared" si="1"/>
        <v>1</v>
      </c>
      <c r="X65">
        <v>1</v>
      </c>
      <c r="Y65">
        <v>0</v>
      </c>
      <c r="Z65">
        <v>1</v>
      </c>
      <c r="AA65">
        <v>0</v>
      </c>
    </row>
    <row r="66" spans="1:27" x14ac:dyDescent="0.25">
      <c r="A66">
        <v>65</v>
      </c>
      <c r="B66" t="s">
        <v>264</v>
      </c>
      <c r="C66" s="1" t="s">
        <v>265</v>
      </c>
      <c r="D66" t="s">
        <v>174</v>
      </c>
      <c r="E66" t="s">
        <v>266</v>
      </c>
      <c r="F66">
        <v>2192</v>
      </c>
      <c r="G66">
        <v>16.026906489999998</v>
      </c>
      <c r="H66" s="14">
        <v>0</v>
      </c>
      <c r="I66">
        <v>1.244250888703391E-4</v>
      </c>
      <c r="K66">
        <v>0</v>
      </c>
      <c r="L66">
        <v>0</v>
      </c>
      <c r="M66" s="14">
        <v>0</v>
      </c>
      <c r="N66">
        <v>0</v>
      </c>
      <c r="O66">
        <v>0</v>
      </c>
      <c r="P66">
        <v>0</v>
      </c>
      <c r="R66">
        <v>0</v>
      </c>
      <c r="S66" s="7">
        <v>0</v>
      </c>
      <c r="T66">
        <v>0</v>
      </c>
      <c r="U66">
        <v>0</v>
      </c>
      <c r="V66">
        <v>0</v>
      </c>
      <c r="W66">
        <f t="shared" si="1"/>
        <v>0</v>
      </c>
      <c r="X66">
        <v>1</v>
      </c>
      <c r="Y66">
        <v>0</v>
      </c>
      <c r="Z66">
        <v>1</v>
      </c>
      <c r="AA66">
        <v>0</v>
      </c>
    </row>
    <row r="67" spans="1:27" x14ac:dyDescent="0.25">
      <c r="A67">
        <v>66</v>
      </c>
      <c r="B67" t="s">
        <v>271</v>
      </c>
      <c r="C67" s="1" t="s">
        <v>272</v>
      </c>
      <c r="D67" t="s">
        <v>174</v>
      </c>
      <c r="E67" t="s">
        <v>273</v>
      </c>
      <c r="F67">
        <v>4077</v>
      </c>
      <c r="G67">
        <v>29.809168679999999</v>
      </c>
      <c r="H67" s="14">
        <v>0</v>
      </c>
      <c r="I67">
        <v>2.345084585249424E-2</v>
      </c>
      <c r="K67">
        <v>0</v>
      </c>
      <c r="L67">
        <v>0</v>
      </c>
      <c r="M67" s="14">
        <v>0</v>
      </c>
      <c r="N67">
        <v>0</v>
      </c>
      <c r="O67">
        <v>0</v>
      </c>
      <c r="P67">
        <v>0</v>
      </c>
      <c r="R67">
        <v>0</v>
      </c>
      <c r="S67" s="7">
        <v>0</v>
      </c>
      <c r="T67">
        <v>0</v>
      </c>
      <c r="U67">
        <v>1</v>
      </c>
      <c r="V67">
        <v>1</v>
      </c>
      <c r="W67">
        <f t="shared" si="1"/>
        <v>2</v>
      </c>
      <c r="X67">
        <v>1</v>
      </c>
      <c r="Y67">
        <v>0</v>
      </c>
      <c r="Z67">
        <v>1</v>
      </c>
      <c r="AA67">
        <v>0</v>
      </c>
    </row>
    <row r="68" spans="1:27" x14ac:dyDescent="0.25">
      <c r="A68">
        <v>67</v>
      </c>
      <c r="B68" t="s">
        <v>274</v>
      </c>
      <c r="C68" s="1" t="s">
        <v>275</v>
      </c>
      <c r="D68" t="s">
        <v>174</v>
      </c>
      <c r="E68" t="s">
        <v>276</v>
      </c>
      <c r="F68">
        <v>4077</v>
      </c>
      <c r="G68">
        <v>29.809168679999999</v>
      </c>
      <c r="H68" s="14">
        <v>1</v>
      </c>
      <c r="I68">
        <v>7.9168202355504036E-3</v>
      </c>
      <c r="J68">
        <v>1.5204020775854589E-2</v>
      </c>
      <c r="K68" s="9">
        <v>1</v>
      </c>
      <c r="L68" s="9">
        <v>1</v>
      </c>
      <c r="M68" s="14">
        <v>1</v>
      </c>
      <c r="N68">
        <v>0</v>
      </c>
      <c r="O68">
        <v>1</v>
      </c>
      <c r="P68">
        <v>1</v>
      </c>
      <c r="Q68" s="6">
        <v>16</v>
      </c>
      <c r="R68" s="7">
        <v>1.3195999999999999E-2</v>
      </c>
      <c r="S68" s="7">
        <v>0</v>
      </c>
      <c r="T68">
        <v>0</v>
      </c>
      <c r="U68">
        <v>1</v>
      </c>
      <c r="V68">
        <v>1</v>
      </c>
      <c r="W68">
        <f t="shared" si="1"/>
        <v>4</v>
      </c>
      <c r="X68">
        <v>1</v>
      </c>
      <c r="Y68">
        <v>1</v>
      </c>
      <c r="Z68">
        <v>1</v>
      </c>
      <c r="AA68">
        <v>1</v>
      </c>
    </row>
    <row r="69" spans="1:27" x14ac:dyDescent="0.25">
      <c r="A69">
        <v>68</v>
      </c>
      <c r="B69" t="s">
        <v>277</v>
      </c>
      <c r="C69" s="1" t="s">
        <v>278</v>
      </c>
      <c r="D69" t="s">
        <v>174</v>
      </c>
      <c r="E69" t="s">
        <v>279</v>
      </c>
      <c r="F69">
        <v>8898</v>
      </c>
      <c r="G69">
        <v>65.058126779999995</v>
      </c>
      <c r="H69" s="14">
        <v>1</v>
      </c>
      <c r="I69">
        <v>2.0648004487156871E-2</v>
      </c>
      <c r="J69">
        <v>4.1403960436582572E-2</v>
      </c>
      <c r="K69" s="9">
        <v>1</v>
      </c>
      <c r="L69" s="9">
        <v>1</v>
      </c>
      <c r="M69" s="14">
        <v>1</v>
      </c>
      <c r="N69">
        <v>0</v>
      </c>
      <c r="O69">
        <v>1</v>
      </c>
      <c r="P69">
        <v>1</v>
      </c>
      <c r="Q69" s="6">
        <v>6</v>
      </c>
      <c r="R69" s="7">
        <v>3.9222E-2</v>
      </c>
      <c r="S69" s="7">
        <v>1</v>
      </c>
      <c r="T69">
        <v>0</v>
      </c>
      <c r="U69">
        <v>1</v>
      </c>
      <c r="V69">
        <v>1</v>
      </c>
      <c r="W69">
        <f t="shared" si="1"/>
        <v>5</v>
      </c>
      <c r="X69">
        <v>1</v>
      </c>
      <c r="Y69">
        <v>1</v>
      </c>
      <c r="Z69">
        <v>1</v>
      </c>
      <c r="AA69">
        <v>1</v>
      </c>
    </row>
    <row r="70" spans="1:27" x14ac:dyDescent="0.25">
      <c r="A70">
        <v>69</v>
      </c>
      <c r="B70" t="s">
        <v>280</v>
      </c>
      <c r="C70" s="1" t="s">
        <v>281</v>
      </c>
      <c r="D70" t="s">
        <v>174</v>
      </c>
      <c r="E70" t="s">
        <v>282</v>
      </c>
      <c r="F70">
        <v>8898</v>
      </c>
      <c r="G70">
        <v>65.058126779999995</v>
      </c>
      <c r="H70" s="14">
        <v>0</v>
      </c>
      <c r="I70">
        <v>8.7824873626232147E-3</v>
      </c>
      <c r="K70">
        <v>0</v>
      </c>
      <c r="L70">
        <v>0</v>
      </c>
      <c r="M70" s="14">
        <v>1</v>
      </c>
      <c r="N70">
        <v>0</v>
      </c>
      <c r="O70">
        <v>0</v>
      </c>
      <c r="P70">
        <v>0</v>
      </c>
      <c r="R70">
        <v>0</v>
      </c>
      <c r="S70" s="7">
        <v>0</v>
      </c>
      <c r="T70">
        <v>0</v>
      </c>
      <c r="U70">
        <v>1</v>
      </c>
      <c r="V70">
        <v>1</v>
      </c>
      <c r="W70">
        <f t="shared" si="1"/>
        <v>2</v>
      </c>
      <c r="X70">
        <v>1</v>
      </c>
      <c r="Y70">
        <v>0</v>
      </c>
      <c r="Z70">
        <v>1</v>
      </c>
      <c r="AA70">
        <v>0</v>
      </c>
    </row>
    <row r="71" spans="1:27" x14ac:dyDescent="0.25">
      <c r="A71">
        <v>70</v>
      </c>
      <c r="B71" t="s">
        <v>283</v>
      </c>
      <c r="C71" s="1" t="s">
        <v>284</v>
      </c>
      <c r="D71" t="s">
        <v>174</v>
      </c>
      <c r="E71" t="s">
        <v>285</v>
      </c>
      <c r="F71">
        <v>1754</v>
      </c>
      <c r="G71">
        <v>12.824449810000001</v>
      </c>
      <c r="H71" s="14">
        <v>1</v>
      </c>
      <c r="K71">
        <v>0</v>
      </c>
      <c r="L71">
        <v>0</v>
      </c>
      <c r="M71" s="14">
        <v>0</v>
      </c>
      <c r="N71">
        <v>0</v>
      </c>
      <c r="O71">
        <v>0</v>
      </c>
      <c r="P71">
        <v>0</v>
      </c>
      <c r="R71">
        <v>0</v>
      </c>
      <c r="S71" s="7">
        <v>0</v>
      </c>
      <c r="T71">
        <v>0</v>
      </c>
      <c r="U71">
        <v>1</v>
      </c>
      <c r="V71">
        <v>1</v>
      </c>
      <c r="W71">
        <f t="shared" si="1"/>
        <v>2</v>
      </c>
      <c r="X71">
        <v>1</v>
      </c>
      <c r="Y71">
        <v>1</v>
      </c>
      <c r="Z71">
        <v>1</v>
      </c>
      <c r="AA71">
        <v>1</v>
      </c>
    </row>
    <row r="72" spans="1:27" x14ac:dyDescent="0.25">
      <c r="A72">
        <v>71</v>
      </c>
      <c r="B72" t="s">
        <v>286</v>
      </c>
      <c r="C72" s="1" t="s">
        <v>287</v>
      </c>
      <c r="D72" t="s">
        <v>174</v>
      </c>
      <c r="E72" t="s">
        <v>288</v>
      </c>
      <c r="F72">
        <v>6172</v>
      </c>
      <c r="G72">
        <v>45.126855300000003</v>
      </c>
      <c r="H72" s="14">
        <v>1</v>
      </c>
      <c r="K72">
        <v>0</v>
      </c>
      <c r="L72">
        <v>0</v>
      </c>
      <c r="M72" s="14">
        <v>0</v>
      </c>
      <c r="N72">
        <v>0</v>
      </c>
      <c r="O72">
        <v>0</v>
      </c>
      <c r="P72">
        <v>0</v>
      </c>
      <c r="R72">
        <v>0</v>
      </c>
      <c r="S72" s="7">
        <v>0</v>
      </c>
      <c r="T72">
        <v>0</v>
      </c>
      <c r="U72">
        <v>1</v>
      </c>
      <c r="V72">
        <v>1</v>
      </c>
      <c r="W72">
        <f t="shared" si="1"/>
        <v>2</v>
      </c>
      <c r="X72">
        <v>1</v>
      </c>
      <c r="Y72">
        <v>1</v>
      </c>
      <c r="Z72">
        <v>1</v>
      </c>
      <c r="AA72">
        <v>1</v>
      </c>
    </row>
    <row r="73" spans="1:27" ht="30" x14ac:dyDescent="0.25">
      <c r="A73">
        <v>72</v>
      </c>
      <c r="B73" t="s">
        <v>289</v>
      </c>
      <c r="C73" s="1" t="s">
        <v>290</v>
      </c>
      <c r="D73" t="s">
        <v>174</v>
      </c>
      <c r="E73" t="s">
        <v>291</v>
      </c>
      <c r="F73">
        <v>479</v>
      </c>
      <c r="G73">
        <v>3.5022300209999999</v>
      </c>
      <c r="H73" s="14">
        <v>1</v>
      </c>
      <c r="K73">
        <v>0</v>
      </c>
      <c r="L73">
        <v>0</v>
      </c>
      <c r="M73" s="14">
        <v>0</v>
      </c>
      <c r="N73">
        <v>0</v>
      </c>
      <c r="O73">
        <v>1</v>
      </c>
      <c r="P73">
        <v>1</v>
      </c>
      <c r="Q73" s="6">
        <v>11</v>
      </c>
      <c r="R73" s="7">
        <v>2.0344999999999999E-2</v>
      </c>
      <c r="S73" s="7">
        <v>0</v>
      </c>
      <c r="T73">
        <v>0</v>
      </c>
      <c r="U73">
        <v>1</v>
      </c>
      <c r="V73">
        <v>1</v>
      </c>
      <c r="W73">
        <f t="shared" si="1"/>
        <v>4</v>
      </c>
      <c r="X73">
        <v>1</v>
      </c>
      <c r="Y73">
        <v>1</v>
      </c>
      <c r="Z73">
        <v>1</v>
      </c>
      <c r="AA73">
        <v>1</v>
      </c>
    </row>
    <row r="74" spans="1:27" ht="45" x14ac:dyDescent="0.25">
      <c r="A74">
        <v>73</v>
      </c>
      <c r="B74" t="s">
        <v>430</v>
      </c>
      <c r="C74" s="1" t="s">
        <v>434</v>
      </c>
      <c r="D74" t="s">
        <v>174</v>
      </c>
      <c r="H74" s="14">
        <v>1</v>
      </c>
      <c r="I74">
        <v>1.7965750768780708E-2</v>
      </c>
      <c r="K74">
        <v>0</v>
      </c>
      <c r="L74">
        <v>0</v>
      </c>
      <c r="M74" s="14">
        <v>1</v>
      </c>
      <c r="Q74" s="6"/>
      <c r="R74" s="7"/>
      <c r="S74" s="7"/>
    </row>
    <row r="75" spans="1:27" ht="45" x14ac:dyDescent="0.25">
      <c r="A75">
        <v>74</v>
      </c>
      <c r="B75" t="s">
        <v>425</v>
      </c>
      <c r="C75" s="1" t="s">
        <v>427</v>
      </c>
      <c r="D75" t="s">
        <v>174</v>
      </c>
      <c r="H75" s="14">
        <v>0</v>
      </c>
      <c r="I75">
        <v>7.8131929039955139E-3</v>
      </c>
      <c r="K75">
        <v>0</v>
      </c>
      <c r="L75">
        <v>0</v>
      </c>
      <c r="M75" s="14">
        <v>1</v>
      </c>
      <c r="Q75" s="6"/>
      <c r="R75" s="7"/>
      <c r="S75" s="7"/>
    </row>
    <row r="76" spans="1:27" ht="30" x14ac:dyDescent="0.25">
      <c r="A76">
        <v>75</v>
      </c>
      <c r="B76" t="s">
        <v>292</v>
      </c>
      <c r="C76" s="1" t="s">
        <v>293</v>
      </c>
      <c r="D76" t="s">
        <v>294</v>
      </c>
      <c r="E76" t="s">
        <v>295</v>
      </c>
      <c r="F76">
        <v>13512</v>
      </c>
      <c r="G76">
        <v>98.79</v>
      </c>
      <c r="H76" s="14">
        <v>1</v>
      </c>
      <c r="I76">
        <v>4.7329938970506191E-3</v>
      </c>
      <c r="J76">
        <v>5.2094083279371262E-2</v>
      </c>
      <c r="K76" s="10">
        <v>1</v>
      </c>
      <c r="L76" s="10">
        <v>1</v>
      </c>
      <c r="M76" s="14">
        <v>1</v>
      </c>
      <c r="N76">
        <v>0</v>
      </c>
      <c r="O76">
        <v>1</v>
      </c>
      <c r="P76">
        <v>1</v>
      </c>
      <c r="Q76" s="6">
        <v>4</v>
      </c>
      <c r="R76" s="7">
        <v>5.3399000000000002E-2</v>
      </c>
      <c r="S76" s="7">
        <v>1</v>
      </c>
      <c r="T76">
        <v>1</v>
      </c>
      <c r="U76">
        <v>0</v>
      </c>
      <c r="V76">
        <v>0</v>
      </c>
      <c r="W76">
        <f t="shared" ref="W76:W88" si="2">SUM(O76:P76,S76:V76)</f>
        <v>4</v>
      </c>
      <c r="X76">
        <v>1</v>
      </c>
      <c r="Y76">
        <v>1</v>
      </c>
      <c r="Z76">
        <v>1</v>
      </c>
      <c r="AA76">
        <v>1</v>
      </c>
    </row>
    <row r="77" spans="1:27" ht="30" x14ac:dyDescent="0.25">
      <c r="A77">
        <v>76</v>
      </c>
      <c r="B77" t="s">
        <v>296</v>
      </c>
      <c r="C77" s="1" t="s">
        <v>297</v>
      </c>
      <c r="D77" t="s">
        <v>294</v>
      </c>
      <c r="E77" t="s">
        <v>298</v>
      </c>
      <c r="F77">
        <v>13512</v>
      </c>
      <c r="G77">
        <v>98.79</v>
      </c>
      <c r="H77" s="14">
        <v>0</v>
      </c>
      <c r="I77">
        <v>8.8195120915770531E-3</v>
      </c>
      <c r="K77">
        <v>0</v>
      </c>
      <c r="L77">
        <v>0</v>
      </c>
      <c r="M77" s="14">
        <v>1</v>
      </c>
      <c r="N77">
        <v>0</v>
      </c>
      <c r="O77">
        <v>0</v>
      </c>
      <c r="P77">
        <v>0</v>
      </c>
      <c r="R77">
        <v>0</v>
      </c>
      <c r="S77" s="7">
        <v>0</v>
      </c>
      <c r="T77">
        <v>1</v>
      </c>
      <c r="U77">
        <v>0</v>
      </c>
      <c r="V77">
        <v>0</v>
      </c>
      <c r="W77">
        <f t="shared" si="2"/>
        <v>1</v>
      </c>
      <c r="X77">
        <v>1</v>
      </c>
      <c r="Y77">
        <v>0</v>
      </c>
      <c r="Z77">
        <v>1</v>
      </c>
      <c r="AA77">
        <v>0</v>
      </c>
    </row>
    <row r="78" spans="1:27" ht="45" x14ac:dyDescent="0.25">
      <c r="A78">
        <v>77</v>
      </c>
      <c r="B78" t="s">
        <v>299</v>
      </c>
      <c r="C78" s="1" t="s">
        <v>300</v>
      </c>
      <c r="D78" t="s">
        <v>294</v>
      </c>
      <c r="E78" t="s">
        <v>301</v>
      </c>
      <c r="F78">
        <v>13344</v>
      </c>
      <c r="G78">
        <v>97.57</v>
      </c>
      <c r="H78" s="14">
        <v>0</v>
      </c>
      <c r="I78">
        <v>1.268123276531696E-2</v>
      </c>
      <c r="K78">
        <v>0</v>
      </c>
      <c r="L78">
        <v>0</v>
      </c>
      <c r="M78" s="14">
        <v>0</v>
      </c>
      <c r="N78">
        <v>0</v>
      </c>
      <c r="O78">
        <v>0</v>
      </c>
      <c r="P78">
        <v>0</v>
      </c>
      <c r="R78">
        <v>0</v>
      </c>
      <c r="S78" s="7">
        <v>0</v>
      </c>
      <c r="T78">
        <v>1</v>
      </c>
      <c r="U78">
        <v>0</v>
      </c>
      <c r="V78">
        <v>0</v>
      </c>
      <c r="W78">
        <f t="shared" si="2"/>
        <v>1</v>
      </c>
      <c r="X78">
        <v>1</v>
      </c>
      <c r="Y78">
        <v>0</v>
      </c>
      <c r="Z78">
        <v>1</v>
      </c>
      <c r="AA78">
        <v>0</v>
      </c>
    </row>
    <row r="79" spans="1:27" ht="45" x14ac:dyDescent="0.25">
      <c r="A79">
        <v>78</v>
      </c>
      <c r="B79" t="s">
        <v>302</v>
      </c>
      <c r="C79" s="1" t="s">
        <v>303</v>
      </c>
      <c r="D79" t="s">
        <v>294</v>
      </c>
      <c r="E79" t="s">
        <v>304</v>
      </c>
      <c r="F79">
        <v>13358</v>
      </c>
      <c r="G79">
        <v>97.66761717</v>
      </c>
      <c r="H79" s="14">
        <v>0</v>
      </c>
      <c r="I79">
        <v>6.7285904660820961E-3</v>
      </c>
      <c r="K79">
        <v>0</v>
      </c>
      <c r="L79">
        <v>0</v>
      </c>
      <c r="M79" s="14">
        <v>1</v>
      </c>
      <c r="N79">
        <v>0</v>
      </c>
      <c r="O79">
        <v>0</v>
      </c>
      <c r="P79">
        <v>0</v>
      </c>
      <c r="R79">
        <v>0</v>
      </c>
      <c r="S79" s="7">
        <v>0</v>
      </c>
      <c r="T79">
        <v>1</v>
      </c>
      <c r="U79">
        <v>0</v>
      </c>
      <c r="V79">
        <v>0</v>
      </c>
      <c r="W79">
        <f t="shared" si="2"/>
        <v>1</v>
      </c>
      <c r="X79">
        <v>1</v>
      </c>
      <c r="Y79">
        <v>0</v>
      </c>
      <c r="Z79">
        <v>1</v>
      </c>
      <c r="AA79">
        <v>0</v>
      </c>
    </row>
    <row r="80" spans="1:27" ht="45" x14ac:dyDescent="0.25">
      <c r="A80">
        <v>79</v>
      </c>
      <c r="B80" t="s">
        <v>305</v>
      </c>
      <c r="C80" s="1" t="s">
        <v>306</v>
      </c>
      <c r="D80" t="s">
        <v>294</v>
      </c>
      <c r="E80" t="s">
        <v>307</v>
      </c>
      <c r="F80">
        <v>12584</v>
      </c>
      <c r="G80">
        <v>92.00848139</v>
      </c>
      <c r="H80" s="14">
        <v>0</v>
      </c>
      <c r="I80">
        <v>4.8276912420988083E-3</v>
      </c>
      <c r="J80">
        <v>1.3041535392403601E-2</v>
      </c>
      <c r="K80" s="9">
        <v>1</v>
      </c>
      <c r="L80" s="9">
        <v>1</v>
      </c>
      <c r="M80" s="14">
        <v>1</v>
      </c>
      <c r="N80">
        <v>0</v>
      </c>
      <c r="O80">
        <v>1</v>
      </c>
      <c r="P80">
        <v>1</v>
      </c>
      <c r="Q80" s="6">
        <v>17</v>
      </c>
      <c r="R80" s="7">
        <v>1.3016E-2</v>
      </c>
      <c r="S80" s="7">
        <v>0</v>
      </c>
      <c r="T80">
        <v>1</v>
      </c>
      <c r="U80">
        <v>0</v>
      </c>
      <c r="V80">
        <v>0</v>
      </c>
      <c r="W80">
        <f t="shared" si="2"/>
        <v>3</v>
      </c>
      <c r="X80">
        <v>1</v>
      </c>
      <c r="Y80">
        <v>1</v>
      </c>
      <c r="Z80">
        <v>1</v>
      </c>
      <c r="AA80">
        <v>1</v>
      </c>
    </row>
    <row r="81" spans="1:27" ht="45" x14ac:dyDescent="0.25">
      <c r="A81">
        <v>80</v>
      </c>
      <c r="B81" t="s">
        <v>308</v>
      </c>
      <c r="C81" s="1" t="s">
        <v>309</v>
      </c>
      <c r="D81" t="s">
        <v>294</v>
      </c>
      <c r="E81" t="s">
        <v>310</v>
      </c>
      <c r="F81">
        <v>11502</v>
      </c>
      <c r="G81">
        <v>84.09738978</v>
      </c>
      <c r="H81" s="14">
        <v>0</v>
      </c>
      <c r="I81">
        <v>5.4952590726315984E-3</v>
      </c>
      <c r="J81">
        <v>1.242156606167555E-2</v>
      </c>
      <c r="K81" s="9">
        <v>1</v>
      </c>
      <c r="L81" s="9">
        <v>1</v>
      </c>
      <c r="M81" s="14">
        <v>1</v>
      </c>
      <c r="N81">
        <v>0</v>
      </c>
      <c r="O81">
        <v>1</v>
      </c>
      <c r="P81">
        <v>1</v>
      </c>
      <c r="Q81" s="6">
        <v>24</v>
      </c>
      <c r="R81" s="7">
        <v>1.1209999999999999E-2</v>
      </c>
      <c r="S81" s="7">
        <v>0</v>
      </c>
      <c r="T81">
        <v>1</v>
      </c>
      <c r="U81">
        <v>0</v>
      </c>
      <c r="V81">
        <v>0</v>
      </c>
      <c r="W81">
        <f t="shared" si="2"/>
        <v>3</v>
      </c>
      <c r="X81">
        <v>1</v>
      </c>
      <c r="Y81">
        <v>1</v>
      </c>
      <c r="Z81">
        <v>1</v>
      </c>
      <c r="AA81">
        <v>1</v>
      </c>
    </row>
    <row r="82" spans="1:27" ht="30" x14ac:dyDescent="0.25">
      <c r="A82">
        <v>81</v>
      </c>
      <c r="B82" t="s">
        <v>311</v>
      </c>
      <c r="C82" s="1" t="s">
        <v>312</v>
      </c>
      <c r="D82" t="s">
        <v>294</v>
      </c>
      <c r="E82" t="s">
        <v>313</v>
      </c>
      <c r="F82">
        <v>13506</v>
      </c>
      <c r="G82">
        <v>98.749725819999995</v>
      </c>
      <c r="H82" s="14">
        <v>1</v>
      </c>
      <c r="I82">
        <v>1.4037110842764379E-2</v>
      </c>
      <c r="K82">
        <v>0</v>
      </c>
      <c r="L82">
        <v>0</v>
      </c>
      <c r="M82" s="14">
        <v>1</v>
      </c>
      <c r="N82">
        <v>0</v>
      </c>
      <c r="O82">
        <v>0</v>
      </c>
      <c r="P82">
        <v>0</v>
      </c>
      <c r="R82">
        <v>0</v>
      </c>
      <c r="S82" s="7">
        <v>0</v>
      </c>
      <c r="T82">
        <v>1</v>
      </c>
      <c r="U82">
        <v>0</v>
      </c>
      <c r="V82">
        <v>0</v>
      </c>
      <c r="W82">
        <f t="shared" si="2"/>
        <v>1</v>
      </c>
      <c r="X82">
        <v>1</v>
      </c>
      <c r="Y82">
        <v>0</v>
      </c>
      <c r="Z82">
        <v>1</v>
      </c>
      <c r="AA82">
        <v>0</v>
      </c>
    </row>
    <row r="83" spans="1:27" ht="30" x14ac:dyDescent="0.25">
      <c r="A83">
        <v>82</v>
      </c>
      <c r="B83" t="s">
        <v>314</v>
      </c>
      <c r="C83" s="1" t="s">
        <v>315</v>
      </c>
      <c r="D83" t="s">
        <v>294</v>
      </c>
      <c r="E83" t="s">
        <v>316</v>
      </c>
      <c r="F83">
        <v>13427</v>
      </c>
      <c r="G83">
        <v>98.17</v>
      </c>
      <c r="H83" s="14">
        <v>0</v>
      </c>
      <c r="I83">
        <v>5.6270225904881954E-3</v>
      </c>
      <c r="K83">
        <v>0</v>
      </c>
      <c r="L83">
        <v>0</v>
      </c>
      <c r="M83" s="14">
        <v>1</v>
      </c>
      <c r="N83">
        <v>0</v>
      </c>
      <c r="O83">
        <v>0</v>
      </c>
      <c r="P83">
        <v>0</v>
      </c>
      <c r="R83">
        <v>0</v>
      </c>
      <c r="S83" s="7">
        <v>0</v>
      </c>
      <c r="T83">
        <v>1</v>
      </c>
      <c r="U83">
        <v>0</v>
      </c>
      <c r="V83">
        <v>0</v>
      </c>
      <c r="W83">
        <f t="shared" si="2"/>
        <v>1</v>
      </c>
      <c r="X83">
        <v>1</v>
      </c>
      <c r="Y83">
        <v>0</v>
      </c>
      <c r="Z83">
        <v>1</v>
      </c>
      <c r="AA83">
        <v>0</v>
      </c>
    </row>
    <row r="84" spans="1:27" ht="30" x14ac:dyDescent="0.25">
      <c r="A84">
        <v>83</v>
      </c>
      <c r="B84" t="s">
        <v>317</v>
      </c>
      <c r="C84" s="1" t="s">
        <v>318</v>
      </c>
      <c r="D84" t="s">
        <v>294</v>
      </c>
      <c r="E84" t="s">
        <v>319</v>
      </c>
      <c r="F84">
        <v>13519</v>
      </c>
      <c r="G84">
        <v>98.844775900000002</v>
      </c>
      <c r="H84" s="14">
        <v>0</v>
      </c>
      <c r="I84">
        <v>9.2260949313640594E-2</v>
      </c>
      <c r="K84">
        <v>0</v>
      </c>
      <c r="L84">
        <v>0</v>
      </c>
      <c r="M84" s="14">
        <v>0</v>
      </c>
      <c r="N84">
        <v>0</v>
      </c>
      <c r="O84">
        <v>0</v>
      </c>
      <c r="P84">
        <v>0</v>
      </c>
      <c r="R84">
        <v>0</v>
      </c>
      <c r="S84" s="7">
        <v>0</v>
      </c>
      <c r="T84">
        <v>1</v>
      </c>
      <c r="U84">
        <v>0</v>
      </c>
      <c r="V84">
        <v>0</v>
      </c>
      <c r="W84">
        <f t="shared" si="2"/>
        <v>1</v>
      </c>
      <c r="X84">
        <v>1</v>
      </c>
      <c r="Y84">
        <v>0</v>
      </c>
      <c r="Z84">
        <v>1</v>
      </c>
      <c r="AA84">
        <v>0</v>
      </c>
    </row>
    <row r="85" spans="1:27" ht="30" x14ac:dyDescent="0.25">
      <c r="A85">
        <v>84</v>
      </c>
      <c r="B85" t="s">
        <v>320</v>
      </c>
      <c r="C85" s="1" t="s">
        <v>321</v>
      </c>
      <c r="D85" t="s">
        <v>294</v>
      </c>
      <c r="E85" t="s">
        <v>322</v>
      </c>
      <c r="F85">
        <v>13518</v>
      </c>
      <c r="G85">
        <v>98.837464359999998</v>
      </c>
      <c r="H85" s="14">
        <v>1</v>
      </c>
      <c r="I85">
        <v>8.2985172048211098E-3</v>
      </c>
      <c r="K85">
        <v>0</v>
      </c>
      <c r="L85">
        <v>0</v>
      </c>
      <c r="M85" s="14">
        <v>1</v>
      </c>
      <c r="N85">
        <v>0</v>
      </c>
      <c r="O85">
        <v>0</v>
      </c>
      <c r="P85">
        <v>0</v>
      </c>
      <c r="R85">
        <v>0</v>
      </c>
      <c r="S85" s="7">
        <v>0</v>
      </c>
      <c r="T85">
        <v>1</v>
      </c>
      <c r="U85">
        <v>0</v>
      </c>
      <c r="V85">
        <v>0</v>
      </c>
      <c r="W85">
        <f t="shared" si="2"/>
        <v>1</v>
      </c>
      <c r="X85">
        <v>1</v>
      </c>
      <c r="Y85">
        <v>0</v>
      </c>
      <c r="Z85">
        <v>1</v>
      </c>
      <c r="AA85">
        <v>0</v>
      </c>
    </row>
    <row r="86" spans="1:27" ht="30" x14ac:dyDescent="0.25">
      <c r="A86">
        <v>85</v>
      </c>
      <c r="B86" t="s">
        <v>323</v>
      </c>
      <c r="C86" s="1" t="s">
        <v>324</v>
      </c>
      <c r="D86" t="s">
        <v>294</v>
      </c>
      <c r="E86" t="s">
        <v>325</v>
      </c>
      <c r="F86">
        <v>5202</v>
      </c>
      <c r="G86">
        <v>38.034656720000001</v>
      </c>
      <c r="H86" s="14">
        <v>1</v>
      </c>
      <c r="I86">
        <v>4.7046439722180367E-3</v>
      </c>
      <c r="J86">
        <v>1.2729484587907789E-2</v>
      </c>
      <c r="K86" s="9">
        <v>1</v>
      </c>
      <c r="L86" s="9">
        <v>1</v>
      </c>
      <c r="M86" s="14">
        <v>1</v>
      </c>
      <c r="N86">
        <v>0</v>
      </c>
      <c r="O86">
        <v>1</v>
      </c>
      <c r="P86">
        <v>1</v>
      </c>
      <c r="Q86" s="6">
        <v>20</v>
      </c>
      <c r="R86" s="7">
        <v>1.2213999999999999E-2</v>
      </c>
      <c r="S86" s="7">
        <v>0</v>
      </c>
      <c r="T86">
        <v>1</v>
      </c>
      <c r="U86">
        <v>0</v>
      </c>
      <c r="V86">
        <v>0</v>
      </c>
      <c r="W86">
        <f t="shared" si="2"/>
        <v>3</v>
      </c>
      <c r="X86">
        <v>1</v>
      </c>
      <c r="Y86">
        <v>1</v>
      </c>
      <c r="Z86">
        <v>1</v>
      </c>
      <c r="AA86">
        <v>1</v>
      </c>
    </row>
    <row r="87" spans="1:27" ht="30" x14ac:dyDescent="0.25">
      <c r="A87">
        <v>86</v>
      </c>
      <c r="B87" t="s">
        <v>326</v>
      </c>
      <c r="C87" s="1" t="s">
        <v>327</v>
      </c>
      <c r="D87" t="s">
        <v>294</v>
      </c>
      <c r="E87" t="s">
        <v>328</v>
      </c>
      <c r="F87">
        <v>13372</v>
      </c>
      <c r="G87">
        <v>97.769978800000004</v>
      </c>
      <c r="H87" s="14">
        <v>0</v>
      </c>
      <c r="K87">
        <v>0</v>
      </c>
      <c r="L87">
        <v>0</v>
      </c>
      <c r="M87" s="14">
        <v>0</v>
      </c>
      <c r="N87">
        <v>0</v>
      </c>
      <c r="O87">
        <v>0</v>
      </c>
      <c r="P87">
        <v>0</v>
      </c>
      <c r="R87">
        <v>0</v>
      </c>
      <c r="S87" s="7">
        <v>0</v>
      </c>
      <c r="T87">
        <v>1</v>
      </c>
      <c r="U87">
        <v>0</v>
      </c>
      <c r="V87">
        <v>0</v>
      </c>
      <c r="W87">
        <f t="shared" si="2"/>
        <v>1</v>
      </c>
      <c r="X87">
        <v>1</v>
      </c>
      <c r="Y87">
        <v>0</v>
      </c>
      <c r="Z87">
        <v>1</v>
      </c>
      <c r="AA87">
        <v>0</v>
      </c>
    </row>
    <row r="88" spans="1:27" ht="30" x14ac:dyDescent="0.25">
      <c r="A88">
        <v>87</v>
      </c>
      <c r="B88" t="s">
        <v>329</v>
      </c>
      <c r="C88" s="1" t="s">
        <v>330</v>
      </c>
      <c r="D88" t="s">
        <v>294</v>
      </c>
      <c r="E88" t="s">
        <v>331</v>
      </c>
      <c r="F88">
        <v>13461</v>
      </c>
      <c r="G88">
        <v>98.420706300000006</v>
      </c>
      <c r="H88" s="14">
        <v>0</v>
      </c>
      <c r="K88">
        <v>0</v>
      </c>
      <c r="L88">
        <v>0</v>
      </c>
      <c r="M88" s="14">
        <v>0</v>
      </c>
      <c r="N88">
        <v>0</v>
      </c>
      <c r="O88">
        <v>0</v>
      </c>
      <c r="P88">
        <v>0</v>
      </c>
      <c r="R88">
        <v>0</v>
      </c>
      <c r="S88" s="7">
        <v>0</v>
      </c>
      <c r="T88">
        <v>1</v>
      </c>
      <c r="U88">
        <v>0</v>
      </c>
      <c r="V88">
        <v>0</v>
      </c>
      <c r="W88">
        <f t="shared" si="2"/>
        <v>1</v>
      </c>
      <c r="X88">
        <v>1</v>
      </c>
      <c r="Y88">
        <v>0</v>
      </c>
      <c r="Z88">
        <v>1</v>
      </c>
      <c r="AA88">
        <v>0</v>
      </c>
    </row>
    <row r="89" spans="1:27" ht="30" x14ac:dyDescent="0.25">
      <c r="A89">
        <v>88</v>
      </c>
      <c r="B89" t="s">
        <v>431</v>
      </c>
      <c r="C89" s="1" t="s">
        <v>435</v>
      </c>
      <c r="D89" t="s">
        <v>294</v>
      </c>
      <c r="H89" s="14">
        <v>0</v>
      </c>
      <c r="I89">
        <v>5.7601574808359146E-3</v>
      </c>
      <c r="K89">
        <v>0</v>
      </c>
      <c r="L89">
        <v>0</v>
      </c>
      <c r="M89" s="14">
        <v>1</v>
      </c>
      <c r="S89" s="7"/>
    </row>
    <row r="90" spans="1:27" ht="30" x14ac:dyDescent="0.25">
      <c r="A90">
        <v>89</v>
      </c>
      <c r="B90" t="s">
        <v>332</v>
      </c>
      <c r="C90" s="1" t="s">
        <v>333</v>
      </c>
      <c r="D90" t="s">
        <v>294</v>
      </c>
      <c r="E90" t="s">
        <v>334</v>
      </c>
      <c r="F90">
        <v>13440</v>
      </c>
      <c r="G90">
        <v>98.267163850000003</v>
      </c>
      <c r="H90" s="14">
        <v>0</v>
      </c>
      <c r="I90">
        <v>1.4292421750724321E-2</v>
      </c>
      <c r="K90">
        <v>0</v>
      </c>
      <c r="L90">
        <v>0</v>
      </c>
      <c r="M90" s="14">
        <v>1</v>
      </c>
      <c r="N90">
        <v>0</v>
      </c>
      <c r="O90">
        <v>0</v>
      </c>
      <c r="P90">
        <v>0</v>
      </c>
      <c r="R90">
        <v>0</v>
      </c>
      <c r="S90" s="7">
        <v>0</v>
      </c>
      <c r="T90">
        <v>1</v>
      </c>
      <c r="U90">
        <v>0</v>
      </c>
      <c r="V90">
        <v>0</v>
      </c>
      <c r="W90">
        <f>SUM(O90:P90,S90:V90)</f>
        <v>1</v>
      </c>
      <c r="X90">
        <v>1</v>
      </c>
      <c r="Y90">
        <v>0</v>
      </c>
      <c r="Z90">
        <v>1</v>
      </c>
      <c r="AA90">
        <v>0</v>
      </c>
    </row>
    <row r="91" spans="1:27" ht="30" x14ac:dyDescent="0.25">
      <c r="A91">
        <v>90</v>
      </c>
      <c r="B91" t="s">
        <v>424</v>
      </c>
      <c r="C91" s="1" t="s">
        <v>426</v>
      </c>
      <c r="D91" t="s">
        <v>294</v>
      </c>
      <c r="H91" s="14">
        <v>0</v>
      </c>
      <c r="I91">
        <v>1.553469523787498E-2</v>
      </c>
      <c r="J91">
        <v>3.8206033408641822E-2</v>
      </c>
      <c r="K91" s="9">
        <v>1</v>
      </c>
      <c r="L91" s="9">
        <v>1</v>
      </c>
      <c r="M91" s="14">
        <v>1</v>
      </c>
      <c r="S91" s="7"/>
    </row>
    <row r="92" spans="1:27" ht="30" x14ac:dyDescent="0.25">
      <c r="A92">
        <v>91</v>
      </c>
      <c r="B92" t="s">
        <v>335</v>
      </c>
      <c r="C92" s="1" t="s">
        <v>336</v>
      </c>
      <c r="D92" t="s">
        <v>294</v>
      </c>
      <c r="E92" t="s">
        <v>337</v>
      </c>
      <c r="F92">
        <v>12808</v>
      </c>
      <c r="G92">
        <v>93.646267460000004</v>
      </c>
      <c r="H92" s="14">
        <v>0</v>
      </c>
      <c r="K92">
        <v>0</v>
      </c>
      <c r="L92">
        <v>0</v>
      </c>
      <c r="M92" s="14">
        <v>0</v>
      </c>
      <c r="N92">
        <v>0</v>
      </c>
      <c r="O92">
        <v>1</v>
      </c>
      <c r="P92">
        <v>1</v>
      </c>
      <c r="Q92" s="6">
        <v>7</v>
      </c>
      <c r="R92" s="7">
        <v>3.1656999999999998E-2</v>
      </c>
      <c r="S92" s="7">
        <v>1</v>
      </c>
      <c r="T92">
        <v>1</v>
      </c>
      <c r="U92">
        <v>0</v>
      </c>
      <c r="V92">
        <v>0</v>
      </c>
      <c r="W92">
        <f t="shared" ref="W92:W123" si="3">SUM(O92:P92,S92:V92)</f>
        <v>4</v>
      </c>
      <c r="X92">
        <v>1</v>
      </c>
      <c r="Y92">
        <v>1</v>
      </c>
      <c r="Z92">
        <v>1</v>
      </c>
      <c r="AA92">
        <v>1</v>
      </c>
    </row>
    <row r="93" spans="1:27" ht="30" x14ac:dyDescent="0.25">
      <c r="A93">
        <v>92</v>
      </c>
      <c r="B93" t="s">
        <v>338</v>
      </c>
      <c r="C93" s="1" t="s">
        <v>339</v>
      </c>
      <c r="D93" t="s">
        <v>294</v>
      </c>
      <c r="E93" t="s">
        <v>340</v>
      </c>
      <c r="F93">
        <v>10152</v>
      </c>
      <c r="G93">
        <v>74.226804119999997</v>
      </c>
      <c r="H93" s="14">
        <v>0</v>
      </c>
      <c r="K93">
        <v>0</v>
      </c>
      <c r="L93">
        <v>0</v>
      </c>
      <c r="M93" s="14">
        <v>0</v>
      </c>
      <c r="N93">
        <v>0</v>
      </c>
      <c r="O93">
        <v>1</v>
      </c>
      <c r="P93">
        <v>1</v>
      </c>
      <c r="Q93" s="6">
        <v>21</v>
      </c>
      <c r="R93" s="7">
        <v>1.1835E-2</v>
      </c>
      <c r="S93" s="7">
        <v>0</v>
      </c>
      <c r="T93">
        <v>1</v>
      </c>
      <c r="U93">
        <v>0</v>
      </c>
      <c r="V93">
        <v>0</v>
      </c>
      <c r="W93">
        <f t="shared" si="3"/>
        <v>3</v>
      </c>
      <c r="X93">
        <v>1</v>
      </c>
      <c r="Y93">
        <v>1</v>
      </c>
      <c r="Z93">
        <v>1</v>
      </c>
      <c r="AA93">
        <v>1</v>
      </c>
    </row>
    <row r="94" spans="1:27" ht="30" x14ac:dyDescent="0.25">
      <c r="A94">
        <v>93</v>
      </c>
      <c r="B94" t="s">
        <v>341</v>
      </c>
      <c r="C94" s="1" t="s">
        <v>342</v>
      </c>
      <c r="D94" t="s">
        <v>294</v>
      </c>
      <c r="E94" t="s">
        <v>343</v>
      </c>
      <c r="F94">
        <v>5613</v>
      </c>
      <c r="G94">
        <v>41.039701690000001</v>
      </c>
      <c r="H94" s="14">
        <v>0</v>
      </c>
      <c r="K94">
        <v>0</v>
      </c>
      <c r="L94">
        <v>0</v>
      </c>
      <c r="M94" s="14">
        <v>0</v>
      </c>
      <c r="N94">
        <v>0</v>
      </c>
      <c r="O94">
        <v>1</v>
      </c>
      <c r="P94">
        <v>1</v>
      </c>
      <c r="Q94" s="6">
        <v>25</v>
      </c>
      <c r="R94" s="7">
        <v>1.1181E-2</v>
      </c>
      <c r="S94" s="7">
        <v>0</v>
      </c>
      <c r="T94">
        <v>0</v>
      </c>
      <c r="U94">
        <v>0</v>
      </c>
      <c r="V94">
        <v>0</v>
      </c>
      <c r="W94">
        <f t="shared" si="3"/>
        <v>2</v>
      </c>
      <c r="X94">
        <v>1</v>
      </c>
      <c r="Y94">
        <v>1</v>
      </c>
      <c r="Z94">
        <v>1</v>
      </c>
      <c r="AA94">
        <v>1</v>
      </c>
    </row>
    <row r="95" spans="1:27" ht="30" x14ac:dyDescent="0.25">
      <c r="A95">
        <v>94</v>
      </c>
      <c r="B95" t="s">
        <v>344</v>
      </c>
      <c r="C95" s="1" t="s">
        <v>345</v>
      </c>
      <c r="D95" t="s">
        <v>294</v>
      </c>
      <c r="E95" t="s">
        <v>346</v>
      </c>
      <c r="F95">
        <v>12241</v>
      </c>
      <c r="G95">
        <v>89.5</v>
      </c>
      <c r="H95" s="14">
        <v>0</v>
      </c>
      <c r="I95">
        <v>6.8519581109285346E-3</v>
      </c>
      <c r="J95">
        <v>1.5877114608883861E-2</v>
      </c>
      <c r="K95" s="9">
        <v>1</v>
      </c>
      <c r="L95" s="9">
        <v>1</v>
      </c>
      <c r="M95" s="14">
        <v>1</v>
      </c>
      <c r="N95">
        <v>0</v>
      </c>
      <c r="O95">
        <v>1</v>
      </c>
      <c r="P95">
        <v>1</v>
      </c>
      <c r="Q95" s="6">
        <v>14</v>
      </c>
      <c r="R95" s="7">
        <v>1.4877E-2</v>
      </c>
      <c r="S95" s="7">
        <v>0</v>
      </c>
      <c r="T95">
        <v>1</v>
      </c>
      <c r="U95">
        <v>0</v>
      </c>
      <c r="V95">
        <v>0</v>
      </c>
      <c r="W95">
        <f t="shared" si="3"/>
        <v>3</v>
      </c>
      <c r="X95">
        <v>1</v>
      </c>
      <c r="Y95">
        <v>1</v>
      </c>
      <c r="Z95">
        <v>1</v>
      </c>
      <c r="AA95">
        <v>1</v>
      </c>
    </row>
    <row r="96" spans="1:27" ht="30" x14ac:dyDescent="0.25">
      <c r="A96">
        <v>95</v>
      </c>
      <c r="B96" t="s">
        <v>347</v>
      </c>
      <c r="C96" s="1" t="s">
        <v>348</v>
      </c>
      <c r="D96" t="s">
        <v>294</v>
      </c>
      <c r="E96" t="s">
        <v>349</v>
      </c>
      <c r="F96">
        <v>13506</v>
      </c>
      <c r="G96">
        <v>98.749725819999995</v>
      </c>
      <c r="H96" s="14">
        <v>1</v>
      </c>
      <c r="I96">
        <v>5.970565602183342E-3</v>
      </c>
      <c r="J96">
        <v>1.2133852578699591E-2</v>
      </c>
      <c r="K96" s="9">
        <v>1</v>
      </c>
      <c r="L96" s="9">
        <v>1</v>
      </c>
      <c r="M96" s="14">
        <v>1</v>
      </c>
      <c r="N96">
        <v>0</v>
      </c>
      <c r="O96">
        <v>1</v>
      </c>
      <c r="P96">
        <v>1</v>
      </c>
      <c r="Q96" s="6">
        <v>22</v>
      </c>
      <c r="R96" s="7">
        <v>1.1478E-2</v>
      </c>
      <c r="S96" s="7">
        <v>0</v>
      </c>
      <c r="T96">
        <v>0</v>
      </c>
      <c r="U96">
        <v>0</v>
      </c>
      <c r="V96">
        <v>0</v>
      </c>
      <c r="W96">
        <f t="shared" si="3"/>
        <v>2</v>
      </c>
      <c r="X96">
        <v>1</v>
      </c>
      <c r="Y96">
        <v>1</v>
      </c>
      <c r="Z96">
        <v>1</v>
      </c>
      <c r="AA96">
        <v>1</v>
      </c>
    </row>
    <row r="97" spans="1:27" x14ac:dyDescent="0.25">
      <c r="A97">
        <v>96</v>
      </c>
      <c r="B97" t="s">
        <v>357</v>
      </c>
      <c r="C97" s="1" t="s">
        <v>358</v>
      </c>
      <c r="D97" t="s">
        <v>359</v>
      </c>
      <c r="E97" t="s">
        <v>360</v>
      </c>
      <c r="F97">
        <v>8774</v>
      </c>
      <c r="G97">
        <v>64.151495209999993</v>
      </c>
      <c r="H97" s="14">
        <v>0</v>
      </c>
      <c r="K97">
        <v>0</v>
      </c>
      <c r="L97">
        <v>0</v>
      </c>
      <c r="M97" s="14">
        <v>0</v>
      </c>
      <c r="N97">
        <v>0</v>
      </c>
      <c r="O97">
        <v>0</v>
      </c>
      <c r="P97">
        <v>0</v>
      </c>
      <c r="R97">
        <v>0</v>
      </c>
      <c r="S97" s="7">
        <v>0</v>
      </c>
      <c r="T97">
        <v>0</v>
      </c>
      <c r="U97">
        <v>0</v>
      </c>
      <c r="V97">
        <v>0</v>
      </c>
      <c r="W97">
        <f t="shared" si="3"/>
        <v>0</v>
      </c>
      <c r="X97">
        <v>1</v>
      </c>
      <c r="Y97">
        <v>0</v>
      </c>
      <c r="Z97">
        <v>1</v>
      </c>
      <c r="AA97">
        <v>0</v>
      </c>
    </row>
    <row r="98" spans="1:27" x14ac:dyDescent="0.25">
      <c r="A98">
        <v>97</v>
      </c>
      <c r="B98" t="s">
        <v>361</v>
      </c>
      <c r="C98" s="1" t="s">
        <v>362</v>
      </c>
      <c r="D98" t="s">
        <v>359</v>
      </c>
      <c r="E98" t="s">
        <v>363</v>
      </c>
      <c r="F98">
        <v>2297</v>
      </c>
      <c r="G98">
        <v>16.794618700000001</v>
      </c>
      <c r="H98" s="14">
        <v>0</v>
      </c>
      <c r="K98">
        <v>0</v>
      </c>
      <c r="L98">
        <v>0</v>
      </c>
      <c r="M98" s="14">
        <v>0</v>
      </c>
      <c r="N98">
        <v>0</v>
      </c>
      <c r="O98">
        <v>0</v>
      </c>
      <c r="P98">
        <v>0</v>
      </c>
      <c r="R98">
        <v>0</v>
      </c>
      <c r="S98" s="7">
        <v>0</v>
      </c>
      <c r="T98">
        <v>0</v>
      </c>
      <c r="U98">
        <v>0</v>
      </c>
      <c r="V98">
        <v>0</v>
      </c>
      <c r="W98">
        <f t="shared" si="3"/>
        <v>0</v>
      </c>
      <c r="X98">
        <v>1</v>
      </c>
      <c r="Y98">
        <v>0</v>
      </c>
      <c r="Z98">
        <v>1</v>
      </c>
      <c r="AA98">
        <v>0</v>
      </c>
    </row>
    <row r="99" spans="1:27" x14ac:dyDescent="0.25">
      <c r="A99">
        <v>98</v>
      </c>
      <c r="B99" t="s">
        <v>364</v>
      </c>
      <c r="C99" s="1" t="s">
        <v>365</v>
      </c>
      <c r="D99" t="s">
        <v>359</v>
      </c>
      <c r="E99" t="s">
        <v>366</v>
      </c>
      <c r="F99">
        <v>817</v>
      </c>
      <c r="G99">
        <v>5.9735322069999999</v>
      </c>
      <c r="H99" s="14">
        <v>0</v>
      </c>
      <c r="K99">
        <v>0</v>
      </c>
      <c r="L99">
        <v>0</v>
      </c>
      <c r="M99" s="14">
        <v>0</v>
      </c>
      <c r="N99">
        <v>0</v>
      </c>
      <c r="O99">
        <v>0</v>
      </c>
      <c r="P99">
        <v>0</v>
      </c>
      <c r="R99">
        <v>0</v>
      </c>
      <c r="S99" s="7">
        <v>0</v>
      </c>
      <c r="T99">
        <v>0</v>
      </c>
      <c r="U99">
        <v>0</v>
      </c>
      <c r="V99">
        <v>0</v>
      </c>
      <c r="W99">
        <f t="shared" si="3"/>
        <v>0</v>
      </c>
      <c r="X99">
        <v>1</v>
      </c>
      <c r="Y99">
        <v>0</v>
      </c>
      <c r="Z99">
        <v>1</v>
      </c>
      <c r="AA99">
        <v>0</v>
      </c>
    </row>
    <row r="100" spans="1:27" x14ac:dyDescent="0.25">
      <c r="A100">
        <v>99</v>
      </c>
      <c r="B100" t="s">
        <v>367</v>
      </c>
      <c r="C100" s="1" t="s">
        <v>368</v>
      </c>
      <c r="D100" t="s">
        <v>359</v>
      </c>
      <c r="E100" t="s">
        <v>369</v>
      </c>
      <c r="F100">
        <v>723</v>
      </c>
      <c r="G100">
        <v>5.2862469839999999</v>
      </c>
      <c r="H100" s="14">
        <v>0</v>
      </c>
      <c r="K100">
        <v>0</v>
      </c>
      <c r="L100">
        <v>0</v>
      </c>
      <c r="M100" s="14">
        <v>0</v>
      </c>
      <c r="N100">
        <v>0</v>
      </c>
      <c r="O100">
        <v>0</v>
      </c>
      <c r="P100">
        <v>0</v>
      </c>
      <c r="R100">
        <v>0</v>
      </c>
      <c r="S100" s="7">
        <v>0</v>
      </c>
      <c r="T100">
        <v>0</v>
      </c>
      <c r="U100">
        <v>0</v>
      </c>
      <c r="V100">
        <v>0</v>
      </c>
      <c r="W100">
        <f t="shared" si="3"/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5">
      <c r="A101">
        <v>100</v>
      </c>
      <c r="B101" t="s">
        <v>370</v>
      </c>
      <c r="C101" s="1" t="s">
        <v>371</v>
      </c>
      <c r="D101" t="s">
        <v>359</v>
      </c>
      <c r="E101" t="s">
        <v>372</v>
      </c>
      <c r="F101">
        <v>154</v>
      </c>
      <c r="G101">
        <v>1.1259779190000001</v>
      </c>
      <c r="H101" s="14">
        <v>0</v>
      </c>
      <c r="K101">
        <v>0</v>
      </c>
      <c r="L101">
        <v>0</v>
      </c>
      <c r="M101" s="14">
        <v>0</v>
      </c>
      <c r="N101">
        <v>0</v>
      </c>
      <c r="O101">
        <v>0</v>
      </c>
      <c r="P101">
        <v>0</v>
      </c>
      <c r="R101">
        <v>0</v>
      </c>
      <c r="S101" s="7">
        <v>0</v>
      </c>
      <c r="T101">
        <v>0</v>
      </c>
      <c r="U101">
        <v>0</v>
      </c>
      <c r="V101">
        <v>0</v>
      </c>
      <c r="W101">
        <f t="shared" si="3"/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5">
      <c r="A102">
        <v>101</v>
      </c>
      <c r="B102" t="s">
        <v>373</v>
      </c>
      <c r="C102" s="1" t="s">
        <v>374</v>
      </c>
      <c r="D102" t="s">
        <v>359</v>
      </c>
      <c r="E102" t="s">
        <v>375</v>
      </c>
      <c r="F102">
        <v>222</v>
      </c>
      <c r="G102">
        <v>1.623162974</v>
      </c>
      <c r="H102" s="14">
        <v>0</v>
      </c>
      <c r="K102">
        <v>0</v>
      </c>
      <c r="L102">
        <v>0</v>
      </c>
      <c r="M102" s="14">
        <v>0</v>
      </c>
      <c r="N102">
        <v>0</v>
      </c>
      <c r="O102">
        <v>0</v>
      </c>
      <c r="P102">
        <v>0</v>
      </c>
      <c r="R102">
        <v>0</v>
      </c>
      <c r="S102" s="7">
        <v>0</v>
      </c>
      <c r="T102">
        <v>0</v>
      </c>
      <c r="U102">
        <v>0</v>
      </c>
      <c r="V102">
        <v>0</v>
      </c>
      <c r="W102">
        <f t="shared" si="3"/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5">
      <c r="A103">
        <v>102</v>
      </c>
      <c r="B103" t="s">
        <v>376</v>
      </c>
      <c r="C103" s="1" t="s">
        <v>377</v>
      </c>
      <c r="D103" t="s">
        <v>359</v>
      </c>
      <c r="E103" t="s">
        <v>378</v>
      </c>
      <c r="F103">
        <v>490</v>
      </c>
      <c r="G103">
        <v>3.5826570150000001</v>
      </c>
      <c r="H103" s="14">
        <v>0</v>
      </c>
      <c r="K103">
        <v>0</v>
      </c>
      <c r="L103">
        <v>0</v>
      </c>
      <c r="M103" s="14">
        <v>0</v>
      </c>
      <c r="N103">
        <v>0</v>
      </c>
      <c r="O103">
        <v>0</v>
      </c>
      <c r="P103">
        <v>0</v>
      </c>
      <c r="R103">
        <v>0</v>
      </c>
      <c r="S103" s="7">
        <v>0</v>
      </c>
      <c r="T103">
        <v>0</v>
      </c>
      <c r="U103">
        <v>0</v>
      </c>
      <c r="V103">
        <v>0</v>
      </c>
      <c r="W103">
        <f t="shared" si="3"/>
        <v>0</v>
      </c>
      <c r="X103">
        <v>0</v>
      </c>
      <c r="Y103">
        <v>0</v>
      </c>
      <c r="Z103">
        <v>0</v>
      </c>
      <c r="AA103">
        <v>0</v>
      </c>
    </row>
    <row r="104" spans="1:27" ht="30" x14ac:dyDescent="0.25">
      <c r="A104">
        <v>103</v>
      </c>
      <c r="B104" t="s">
        <v>379</v>
      </c>
      <c r="C104" s="1" t="s">
        <v>380</v>
      </c>
      <c r="D104" t="s">
        <v>359</v>
      </c>
      <c r="E104" t="s">
        <v>381</v>
      </c>
      <c r="F104">
        <v>2291</v>
      </c>
      <c r="G104">
        <v>16.750749429999999</v>
      </c>
      <c r="H104" s="14">
        <v>0</v>
      </c>
      <c r="K104">
        <v>0</v>
      </c>
      <c r="L104">
        <v>0</v>
      </c>
      <c r="M104" s="14">
        <v>0</v>
      </c>
      <c r="N104">
        <v>0</v>
      </c>
      <c r="O104">
        <v>0</v>
      </c>
      <c r="P104">
        <v>0</v>
      </c>
      <c r="R104">
        <v>0</v>
      </c>
      <c r="S104" s="7">
        <v>0</v>
      </c>
      <c r="T104">
        <v>0</v>
      </c>
      <c r="U104">
        <v>0</v>
      </c>
      <c r="V104">
        <v>0</v>
      </c>
      <c r="W104">
        <f t="shared" si="3"/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5">
      <c r="A105">
        <v>104</v>
      </c>
      <c r="B105" t="s">
        <v>382</v>
      </c>
      <c r="C105" s="1" t="s">
        <v>383</v>
      </c>
      <c r="D105" t="s">
        <v>359</v>
      </c>
      <c r="E105" t="s">
        <v>384</v>
      </c>
      <c r="F105">
        <v>308</v>
      </c>
      <c r="G105">
        <v>2.2519558380000002</v>
      </c>
      <c r="H105" s="14">
        <v>0</v>
      </c>
      <c r="K105">
        <v>0</v>
      </c>
      <c r="L105">
        <v>0</v>
      </c>
      <c r="M105" s="14">
        <v>0</v>
      </c>
      <c r="N105">
        <v>0</v>
      </c>
      <c r="O105">
        <v>0</v>
      </c>
      <c r="P105">
        <v>0</v>
      </c>
      <c r="R105">
        <v>0</v>
      </c>
      <c r="S105" s="7">
        <v>0</v>
      </c>
      <c r="T105">
        <v>0</v>
      </c>
      <c r="U105">
        <v>0</v>
      </c>
      <c r="V105">
        <v>0</v>
      </c>
      <c r="W105">
        <f t="shared" si="3"/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5">
      <c r="A106">
        <v>105</v>
      </c>
      <c r="B106" t="s">
        <v>385</v>
      </c>
      <c r="C106" s="1" t="s">
        <v>386</v>
      </c>
      <c r="D106" t="s">
        <v>359</v>
      </c>
      <c r="E106" t="s">
        <v>387</v>
      </c>
      <c r="F106">
        <v>119</v>
      </c>
      <c r="G106">
        <v>0.87007384700000001</v>
      </c>
      <c r="H106" s="14">
        <v>0</v>
      </c>
      <c r="K106">
        <v>0</v>
      </c>
      <c r="L106">
        <v>0</v>
      </c>
      <c r="M106" s="14">
        <v>0</v>
      </c>
      <c r="N106">
        <v>0</v>
      </c>
      <c r="O106">
        <v>0</v>
      </c>
      <c r="P106">
        <v>0</v>
      </c>
      <c r="R106">
        <v>0</v>
      </c>
      <c r="S106" s="7">
        <v>0</v>
      </c>
      <c r="T106">
        <v>0</v>
      </c>
      <c r="U106">
        <v>0</v>
      </c>
      <c r="V106">
        <v>0</v>
      </c>
      <c r="W106">
        <f t="shared" si="3"/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5">
      <c r="A107">
        <v>106</v>
      </c>
      <c r="B107" t="s">
        <v>388</v>
      </c>
      <c r="C107" s="1" t="s">
        <v>389</v>
      </c>
      <c r="D107" t="s">
        <v>359</v>
      </c>
      <c r="E107" t="s">
        <v>390</v>
      </c>
      <c r="F107">
        <v>522</v>
      </c>
      <c r="G107">
        <v>3.816626453</v>
      </c>
      <c r="H107" s="14">
        <v>0</v>
      </c>
      <c r="K107">
        <v>0</v>
      </c>
      <c r="L107">
        <v>0</v>
      </c>
      <c r="M107" s="14">
        <v>0</v>
      </c>
      <c r="N107">
        <v>0</v>
      </c>
      <c r="O107">
        <v>0</v>
      </c>
      <c r="P107">
        <v>0</v>
      </c>
      <c r="R107">
        <v>0</v>
      </c>
      <c r="S107" s="7">
        <v>0</v>
      </c>
      <c r="T107">
        <v>0</v>
      </c>
      <c r="U107">
        <v>0</v>
      </c>
      <c r="V107">
        <v>0</v>
      </c>
      <c r="W107">
        <f t="shared" si="3"/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5">
      <c r="A108">
        <v>107</v>
      </c>
      <c r="B108" t="s">
        <v>391</v>
      </c>
      <c r="C108" s="1" t="s">
        <v>392</v>
      </c>
      <c r="D108" t="s">
        <v>359</v>
      </c>
      <c r="E108" t="s">
        <v>393</v>
      </c>
      <c r="F108">
        <v>11</v>
      </c>
      <c r="G108">
        <v>0.08</v>
      </c>
      <c r="H108" s="14">
        <v>0</v>
      </c>
      <c r="K108">
        <v>0</v>
      </c>
      <c r="L108">
        <v>0</v>
      </c>
      <c r="M108" s="14">
        <v>0</v>
      </c>
      <c r="N108">
        <v>0</v>
      </c>
      <c r="O108">
        <v>0</v>
      </c>
      <c r="P108">
        <v>0</v>
      </c>
      <c r="R108">
        <v>0</v>
      </c>
      <c r="S108" s="7">
        <v>0</v>
      </c>
      <c r="T108">
        <v>0</v>
      </c>
      <c r="U108">
        <v>0</v>
      </c>
      <c r="V108">
        <v>0</v>
      </c>
      <c r="W108">
        <f t="shared" si="3"/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5">
      <c r="A109">
        <v>108</v>
      </c>
      <c r="B109" t="s">
        <v>394</v>
      </c>
      <c r="C109" s="1" t="s">
        <v>395</v>
      </c>
      <c r="D109" t="s">
        <v>359</v>
      </c>
      <c r="E109" t="s">
        <v>396</v>
      </c>
      <c r="F109">
        <v>29</v>
      </c>
      <c r="G109">
        <v>0.21203480299999999</v>
      </c>
      <c r="H109" s="14">
        <v>0</v>
      </c>
      <c r="K109">
        <v>0</v>
      </c>
      <c r="L109">
        <v>0</v>
      </c>
      <c r="M109" s="14">
        <v>0</v>
      </c>
      <c r="N109">
        <v>0</v>
      </c>
      <c r="O109">
        <v>0</v>
      </c>
      <c r="P109">
        <v>0</v>
      </c>
      <c r="R109">
        <v>0</v>
      </c>
      <c r="S109" s="7">
        <v>0</v>
      </c>
      <c r="T109">
        <v>0</v>
      </c>
      <c r="U109">
        <v>0</v>
      </c>
      <c r="V109">
        <v>0</v>
      </c>
      <c r="W109">
        <f t="shared" si="3"/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5">
      <c r="A110">
        <v>109</v>
      </c>
      <c r="B110" t="s">
        <v>352</v>
      </c>
      <c r="C110" s="1" t="s">
        <v>397</v>
      </c>
      <c r="D110" t="s">
        <v>352</v>
      </c>
      <c r="E110" t="s">
        <v>10</v>
      </c>
      <c r="F110">
        <v>13677</v>
      </c>
      <c r="G110">
        <v>100</v>
      </c>
      <c r="H110" s="14">
        <v>0</v>
      </c>
      <c r="K110">
        <v>0</v>
      </c>
      <c r="L110">
        <v>0</v>
      </c>
      <c r="M110" s="14">
        <v>0</v>
      </c>
      <c r="N110">
        <v>0</v>
      </c>
      <c r="O110">
        <v>0</v>
      </c>
      <c r="P110">
        <v>0</v>
      </c>
      <c r="R110">
        <v>0</v>
      </c>
      <c r="S110" s="7">
        <v>0</v>
      </c>
      <c r="T110">
        <v>0</v>
      </c>
      <c r="U110">
        <v>0</v>
      </c>
      <c r="V110">
        <v>0</v>
      </c>
      <c r="W110">
        <f t="shared" si="3"/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5">
      <c r="A111">
        <v>110</v>
      </c>
      <c r="B111" t="s">
        <v>398</v>
      </c>
      <c r="C111" s="1" t="s">
        <v>399</v>
      </c>
      <c r="D111" t="s">
        <v>9</v>
      </c>
      <c r="E111" t="s">
        <v>36</v>
      </c>
      <c r="F111">
        <v>2749</v>
      </c>
      <c r="G111">
        <v>20.099437009999999</v>
      </c>
      <c r="H111" s="14">
        <v>0</v>
      </c>
      <c r="K111">
        <v>0</v>
      </c>
      <c r="L111">
        <v>0</v>
      </c>
      <c r="M111" s="14">
        <v>0</v>
      </c>
      <c r="N111">
        <v>0</v>
      </c>
      <c r="O111">
        <v>0</v>
      </c>
      <c r="P111">
        <v>0</v>
      </c>
      <c r="R111">
        <v>0</v>
      </c>
      <c r="S111" s="7">
        <v>0</v>
      </c>
      <c r="T111">
        <v>0</v>
      </c>
      <c r="U111">
        <v>0</v>
      </c>
      <c r="V111">
        <v>0</v>
      </c>
      <c r="W111">
        <f t="shared" si="3"/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5">
      <c r="A112">
        <v>111</v>
      </c>
      <c r="B112" t="s">
        <v>350</v>
      </c>
      <c r="C112" s="1" t="s">
        <v>351</v>
      </c>
      <c r="D112" t="s">
        <v>352</v>
      </c>
      <c r="E112" t="s">
        <v>353</v>
      </c>
      <c r="F112">
        <v>13677</v>
      </c>
      <c r="G112">
        <v>100</v>
      </c>
      <c r="H112" s="14">
        <v>0</v>
      </c>
      <c r="K112">
        <v>0</v>
      </c>
      <c r="L112">
        <v>0</v>
      </c>
      <c r="M112" s="14">
        <v>0</v>
      </c>
      <c r="N112">
        <v>1</v>
      </c>
      <c r="O112">
        <v>0</v>
      </c>
      <c r="P112">
        <v>0</v>
      </c>
      <c r="R112">
        <v>0</v>
      </c>
      <c r="S112" s="7">
        <v>0</v>
      </c>
      <c r="T112">
        <v>0</v>
      </c>
      <c r="U112">
        <v>0</v>
      </c>
      <c r="V112">
        <v>0</v>
      </c>
      <c r="W112">
        <f t="shared" si="3"/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5">
      <c r="A113">
        <v>112</v>
      </c>
      <c r="B113" t="s">
        <v>354</v>
      </c>
      <c r="C113" s="1" t="s">
        <v>355</v>
      </c>
      <c r="D113" t="s">
        <v>352</v>
      </c>
      <c r="E113" t="s">
        <v>356</v>
      </c>
      <c r="F113">
        <v>13677</v>
      </c>
      <c r="G113">
        <v>100</v>
      </c>
      <c r="H113" s="14">
        <v>0</v>
      </c>
      <c r="K113">
        <v>0</v>
      </c>
      <c r="L113">
        <v>0</v>
      </c>
      <c r="M113" s="14">
        <v>0</v>
      </c>
      <c r="N113">
        <v>1</v>
      </c>
      <c r="O113">
        <v>0</v>
      </c>
      <c r="P113">
        <v>0</v>
      </c>
      <c r="R113">
        <v>0</v>
      </c>
      <c r="S113" s="7">
        <v>0</v>
      </c>
      <c r="T113">
        <v>0</v>
      </c>
      <c r="U113">
        <v>0</v>
      </c>
      <c r="V113">
        <v>0</v>
      </c>
      <c r="W113">
        <f t="shared" si="3"/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5">
      <c r="A114">
        <v>113</v>
      </c>
      <c r="B114" t="s">
        <v>71</v>
      </c>
      <c r="C114" s="1" t="s">
        <v>72</v>
      </c>
      <c r="D114" t="s">
        <v>47</v>
      </c>
      <c r="E114" t="s">
        <v>56</v>
      </c>
      <c r="F114">
        <v>11818</v>
      </c>
      <c r="G114">
        <v>86.407837979999996</v>
      </c>
      <c r="H114" s="14">
        <v>0</v>
      </c>
      <c r="K114">
        <v>0</v>
      </c>
      <c r="L114">
        <v>0</v>
      </c>
      <c r="M114" s="14">
        <v>0</v>
      </c>
      <c r="N114">
        <v>1</v>
      </c>
      <c r="O114">
        <v>0</v>
      </c>
      <c r="P114">
        <v>0</v>
      </c>
      <c r="R114">
        <v>0</v>
      </c>
      <c r="S114" s="7">
        <v>0</v>
      </c>
      <c r="T114">
        <v>0</v>
      </c>
      <c r="U114">
        <v>0</v>
      </c>
      <c r="V114">
        <v>0</v>
      </c>
      <c r="W114">
        <f t="shared" si="3"/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5">
      <c r="A115">
        <v>114</v>
      </c>
      <c r="B115" t="s">
        <v>73</v>
      </c>
      <c r="C115" s="1" t="s">
        <v>74</v>
      </c>
      <c r="D115" t="s">
        <v>15</v>
      </c>
      <c r="E115" t="s">
        <v>75</v>
      </c>
      <c r="F115">
        <v>11818</v>
      </c>
      <c r="G115">
        <v>86.407837979999996</v>
      </c>
      <c r="H115" s="14">
        <v>0</v>
      </c>
      <c r="K115">
        <v>0</v>
      </c>
      <c r="L115">
        <v>0</v>
      </c>
      <c r="M115" s="14">
        <v>0</v>
      </c>
      <c r="N115">
        <v>1</v>
      </c>
      <c r="O115">
        <v>0</v>
      </c>
      <c r="P115">
        <v>0</v>
      </c>
      <c r="R115">
        <v>0</v>
      </c>
      <c r="S115" s="7">
        <v>0</v>
      </c>
      <c r="T115">
        <v>0</v>
      </c>
      <c r="U115">
        <v>0</v>
      </c>
      <c r="V115">
        <v>0</v>
      </c>
      <c r="W115">
        <f t="shared" si="3"/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5">
      <c r="A116">
        <v>115</v>
      </c>
      <c r="B116" t="s">
        <v>76</v>
      </c>
      <c r="C116" s="1" t="s">
        <v>77</v>
      </c>
      <c r="D116" t="s">
        <v>15</v>
      </c>
      <c r="E116" t="s">
        <v>36</v>
      </c>
      <c r="F116">
        <v>12419</v>
      </c>
      <c r="G116">
        <v>90.802076479999997</v>
      </c>
      <c r="H116" s="14">
        <v>0</v>
      </c>
      <c r="K116">
        <v>0</v>
      </c>
      <c r="L116">
        <v>0</v>
      </c>
      <c r="M116" s="14">
        <v>0</v>
      </c>
      <c r="N116">
        <v>1</v>
      </c>
      <c r="O116">
        <v>0</v>
      </c>
      <c r="P116">
        <v>0</v>
      </c>
      <c r="R116">
        <v>0</v>
      </c>
      <c r="S116" s="7">
        <v>0</v>
      </c>
      <c r="T116">
        <v>0</v>
      </c>
      <c r="U116">
        <v>0</v>
      </c>
      <c r="V116">
        <v>0</v>
      </c>
      <c r="W116">
        <f t="shared" si="3"/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5">
      <c r="A117">
        <v>116</v>
      </c>
      <c r="B117" t="s">
        <v>78</v>
      </c>
      <c r="C117" s="1" t="s">
        <v>79</v>
      </c>
      <c r="D117" t="s">
        <v>15</v>
      </c>
      <c r="E117" t="s">
        <v>36</v>
      </c>
      <c r="F117">
        <v>6800</v>
      </c>
      <c r="G117">
        <v>49.718505520000001</v>
      </c>
      <c r="H117" s="14">
        <v>0</v>
      </c>
      <c r="K117">
        <v>0</v>
      </c>
      <c r="L117">
        <v>0</v>
      </c>
      <c r="M117" s="14">
        <v>0</v>
      </c>
      <c r="N117">
        <v>1</v>
      </c>
      <c r="O117">
        <v>0</v>
      </c>
      <c r="P117">
        <v>0</v>
      </c>
      <c r="R117">
        <v>0</v>
      </c>
      <c r="S117" s="7">
        <v>0</v>
      </c>
      <c r="T117">
        <v>0</v>
      </c>
      <c r="U117">
        <v>0</v>
      </c>
      <c r="V117">
        <v>0</v>
      </c>
      <c r="W117">
        <f t="shared" si="3"/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5">
      <c r="A118">
        <v>117</v>
      </c>
      <c r="B118" t="s">
        <v>80</v>
      </c>
      <c r="C118" s="1" t="s">
        <v>81</v>
      </c>
      <c r="D118" t="s">
        <v>15</v>
      </c>
      <c r="E118" t="s">
        <v>82</v>
      </c>
      <c r="F118">
        <v>5919</v>
      </c>
      <c r="G118">
        <v>43.277034440000001</v>
      </c>
      <c r="H118" s="14">
        <v>0</v>
      </c>
      <c r="K118">
        <v>0</v>
      </c>
      <c r="L118">
        <v>0</v>
      </c>
      <c r="M118" s="14">
        <v>0</v>
      </c>
      <c r="N118">
        <v>1</v>
      </c>
      <c r="O118">
        <v>0</v>
      </c>
      <c r="P118">
        <v>0</v>
      </c>
      <c r="R118">
        <v>0</v>
      </c>
      <c r="S118" s="7">
        <v>0</v>
      </c>
      <c r="T118">
        <v>0</v>
      </c>
      <c r="U118">
        <v>0</v>
      </c>
      <c r="V118">
        <v>0</v>
      </c>
      <c r="W118">
        <f t="shared" si="3"/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5">
      <c r="A119">
        <v>118</v>
      </c>
      <c r="B119" t="s">
        <v>83</v>
      </c>
      <c r="C119" s="1" t="s">
        <v>84</v>
      </c>
      <c r="D119" t="s">
        <v>47</v>
      </c>
      <c r="E119" t="s">
        <v>85</v>
      </c>
      <c r="F119">
        <v>10685</v>
      </c>
      <c r="G119">
        <v>78.123857569999998</v>
      </c>
      <c r="H119" s="14">
        <v>0</v>
      </c>
      <c r="K119">
        <v>0</v>
      </c>
      <c r="L119">
        <v>0</v>
      </c>
      <c r="M119" s="14">
        <v>0</v>
      </c>
      <c r="N119">
        <v>1</v>
      </c>
      <c r="O119">
        <v>0</v>
      </c>
      <c r="P119">
        <v>0</v>
      </c>
      <c r="R119">
        <v>0</v>
      </c>
      <c r="S119" s="7">
        <v>0</v>
      </c>
      <c r="T119">
        <v>0</v>
      </c>
      <c r="U119">
        <v>0</v>
      </c>
      <c r="V119">
        <v>0</v>
      </c>
      <c r="W119">
        <f t="shared" si="3"/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5">
      <c r="A120">
        <v>119</v>
      </c>
      <c r="B120" t="s">
        <v>86</v>
      </c>
      <c r="C120" s="1" t="s">
        <v>87</v>
      </c>
      <c r="D120" t="s">
        <v>15</v>
      </c>
      <c r="E120" t="s">
        <v>88</v>
      </c>
      <c r="F120">
        <v>10685</v>
      </c>
      <c r="G120">
        <v>78.123857569999998</v>
      </c>
      <c r="H120" s="14">
        <v>0</v>
      </c>
      <c r="K120">
        <v>0</v>
      </c>
      <c r="L120">
        <v>0</v>
      </c>
      <c r="M120" s="14">
        <v>0</v>
      </c>
      <c r="N120">
        <v>1</v>
      </c>
      <c r="O120">
        <v>0</v>
      </c>
      <c r="P120">
        <v>0</v>
      </c>
      <c r="R120">
        <v>0</v>
      </c>
      <c r="S120" s="7">
        <v>0</v>
      </c>
      <c r="T120">
        <v>0</v>
      </c>
      <c r="U120">
        <v>0</v>
      </c>
      <c r="V120">
        <v>0</v>
      </c>
      <c r="W120">
        <f t="shared" si="3"/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5">
      <c r="A121">
        <v>120</v>
      </c>
      <c r="B121" t="s">
        <v>89</v>
      </c>
      <c r="C121" s="1" t="s">
        <v>90</v>
      </c>
      <c r="D121" t="s">
        <v>15</v>
      </c>
      <c r="E121" t="s">
        <v>36</v>
      </c>
      <c r="F121">
        <v>11556</v>
      </c>
      <c r="G121">
        <v>84.492213199999995</v>
      </c>
      <c r="H121" s="14">
        <v>0</v>
      </c>
      <c r="K121">
        <v>0</v>
      </c>
      <c r="L121">
        <v>0</v>
      </c>
      <c r="M121" s="14">
        <v>0</v>
      </c>
      <c r="N121">
        <v>1</v>
      </c>
      <c r="O121">
        <v>0</v>
      </c>
      <c r="P121">
        <v>0</v>
      </c>
      <c r="R121">
        <v>0</v>
      </c>
      <c r="S121" s="7">
        <v>0</v>
      </c>
      <c r="T121">
        <v>0</v>
      </c>
      <c r="U121">
        <v>0</v>
      </c>
      <c r="V121">
        <v>0</v>
      </c>
      <c r="W121">
        <f t="shared" si="3"/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5">
      <c r="A122">
        <v>121</v>
      </c>
      <c r="B122" t="s">
        <v>91</v>
      </c>
      <c r="C122" s="1" t="s">
        <v>92</v>
      </c>
      <c r="D122" t="s">
        <v>15</v>
      </c>
      <c r="E122" t="s">
        <v>36</v>
      </c>
      <c r="F122">
        <v>1800</v>
      </c>
      <c r="G122">
        <v>13.16078087</v>
      </c>
      <c r="H122" s="14">
        <v>0</v>
      </c>
      <c r="K122">
        <v>0</v>
      </c>
      <c r="L122">
        <v>0</v>
      </c>
      <c r="M122" s="14">
        <v>0</v>
      </c>
      <c r="N122">
        <v>1</v>
      </c>
      <c r="O122">
        <v>0</v>
      </c>
      <c r="P122">
        <v>0</v>
      </c>
      <c r="R122">
        <v>0</v>
      </c>
      <c r="S122" s="7">
        <v>0</v>
      </c>
      <c r="T122">
        <v>0</v>
      </c>
      <c r="U122">
        <v>0</v>
      </c>
      <c r="V122">
        <v>0</v>
      </c>
      <c r="W122">
        <f t="shared" si="3"/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5">
      <c r="A123">
        <v>122</v>
      </c>
      <c r="B123" t="s">
        <v>93</v>
      </c>
      <c r="C123" s="1" t="s">
        <v>94</v>
      </c>
      <c r="D123" t="s">
        <v>15</v>
      </c>
      <c r="E123" t="s">
        <v>36</v>
      </c>
      <c r="F123">
        <v>180</v>
      </c>
      <c r="G123">
        <v>1.316078087</v>
      </c>
      <c r="H123" s="14">
        <v>0</v>
      </c>
      <c r="K123">
        <v>0</v>
      </c>
      <c r="L123">
        <v>0</v>
      </c>
      <c r="M123" s="14">
        <v>0</v>
      </c>
      <c r="N123">
        <v>1</v>
      </c>
      <c r="O123">
        <v>0</v>
      </c>
      <c r="P123">
        <v>0</v>
      </c>
      <c r="R123">
        <v>0</v>
      </c>
      <c r="S123" s="7">
        <v>0</v>
      </c>
      <c r="T123">
        <v>0</v>
      </c>
      <c r="U123">
        <v>0</v>
      </c>
      <c r="V123">
        <v>0</v>
      </c>
      <c r="W123">
        <f t="shared" si="3"/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5">
      <c r="A124">
        <v>123</v>
      </c>
      <c r="B124" t="s">
        <v>95</v>
      </c>
      <c r="C124" s="1" t="s">
        <v>96</v>
      </c>
      <c r="D124" t="s">
        <v>47</v>
      </c>
      <c r="E124" t="s">
        <v>97</v>
      </c>
      <c r="F124">
        <v>10765</v>
      </c>
      <c r="G124">
        <v>78.708781169999995</v>
      </c>
      <c r="H124" s="14">
        <v>0</v>
      </c>
      <c r="K124">
        <v>0</v>
      </c>
      <c r="L124">
        <v>0</v>
      </c>
      <c r="M124" s="14">
        <v>0</v>
      </c>
      <c r="N124">
        <v>1</v>
      </c>
      <c r="O124">
        <v>0</v>
      </c>
      <c r="P124">
        <v>0</v>
      </c>
      <c r="R124">
        <v>0</v>
      </c>
      <c r="S124" s="7">
        <v>0</v>
      </c>
      <c r="T124">
        <v>0</v>
      </c>
      <c r="U124">
        <v>0</v>
      </c>
      <c r="V124">
        <v>0</v>
      </c>
      <c r="W124">
        <f t="shared" ref="W124:W155" si="4">SUM(O124:P124,S124:V124)</f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5">
      <c r="A125">
        <v>124</v>
      </c>
      <c r="B125" t="s">
        <v>98</v>
      </c>
      <c r="C125" s="1" t="s">
        <v>99</v>
      </c>
      <c r="D125" t="s">
        <v>15</v>
      </c>
      <c r="E125" t="s">
        <v>100</v>
      </c>
      <c r="F125">
        <v>10765</v>
      </c>
      <c r="G125">
        <v>78.708781169999995</v>
      </c>
      <c r="H125" s="14">
        <v>0</v>
      </c>
      <c r="K125">
        <v>0</v>
      </c>
      <c r="L125">
        <v>0</v>
      </c>
      <c r="M125" s="14">
        <v>0</v>
      </c>
      <c r="N125">
        <v>1</v>
      </c>
      <c r="O125">
        <v>0</v>
      </c>
      <c r="P125">
        <v>0</v>
      </c>
      <c r="R125">
        <v>0</v>
      </c>
      <c r="S125" s="7">
        <v>0</v>
      </c>
      <c r="T125">
        <v>0</v>
      </c>
      <c r="U125">
        <v>0</v>
      </c>
      <c r="V125">
        <v>0</v>
      </c>
      <c r="W125">
        <f t="shared" si="4"/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5">
      <c r="A126">
        <v>125</v>
      </c>
      <c r="B126" t="s">
        <v>101</v>
      </c>
      <c r="C126" s="1" t="s">
        <v>102</v>
      </c>
      <c r="D126" t="s">
        <v>15</v>
      </c>
      <c r="E126" t="s">
        <v>36</v>
      </c>
      <c r="F126">
        <v>11542</v>
      </c>
      <c r="G126">
        <v>84.389851579999998</v>
      </c>
      <c r="H126" s="14">
        <v>0</v>
      </c>
      <c r="K126">
        <v>0</v>
      </c>
      <c r="L126">
        <v>0</v>
      </c>
      <c r="M126" s="14">
        <v>0</v>
      </c>
      <c r="N126">
        <v>1</v>
      </c>
      <c r="O126">
        <v>0</v>
      </c>
      <c r="P126">
        <v>0</v>
      </c>
      <c r="R126">
        <v>0</v>
      </c>
      <c r="S126" s="7">
        <v>0</v>
      </c>
      <c r="T126">
        <v>0</v>
      </c>
      <c r="U126">
        <v>0</v>
      </c>
      <c r="V126">
        <v>0</v>
      </c>
      <c r="W126">
        <f t="shared" si="4"/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5">
      <c r="A127">
        <v>126</v>
      </c>
      <c r="B127" t="s">
        <v>103</v>
      </c>
      <c r="C127" s="1" t="s">
        <v>104</v>
      </c>
      <c r="D127" t="s">
        <v>15</v>
      </c>
      <c r="E127" t="s">
        <v>36</v>
      </c>
      <c r="F127">
        <v>2030</v>
      </c>
      <c r="G127">
        <v>14.842436210000001</v>
      </c>
      <c r="H127" s="14">
        <v>0</v>
      </c>
      <c r="K127">
        <v>0</v>
      </c>
      <c r="L127">
        <v>0</v>
      </c>
      <c r="M127" s="14">
        <v>0</v>
      </c>
      <c r="N127">
        <v>1</v>
      </c>
      <c r="O127">
        <v>0</v>
      </c>
      <c r="P127">
        <v>0</v>
      </c>
      <c r="R127">
        <v>0</v>
      </c>
      <c r="S127" s="7">
        <v>0</v>
      </c>
      <c r="T127">
        <v>0</v>
      </c>
      <c r="U127">
        <v>0</v>
      </c>
      <c r="V127">
        <v>0</v>
      </c>
      <c r="W127">
        <f t="shared" si="4"/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5">
      <c r="A128">
        <v>127</v>
      </c>
      <c r="B128" t="s">
        <v>105</v>
      </c>
      <c r="C128" s="1" t="s">
        <v>106</v>
      </c>
      <c r="D128" t="s">
        <v>15</v>
      </c>
      <c r="E128" t="s">
        <v>36</v>
      </c>
      <c r="F128">
        <v>191</v>
      </c>
      <c r="G128">
        <v>1.396505082</v>
      </c>
      <c r="H128" s="14">
        <v>0</v>
      </c>
      <c r="K128">
        <v>0</v>
      </c>
      <c r="L128">
        <v>0</v>
      </c>
      <c r="M128" s="14">
        <v>0</v>
      </c>
      <c r="N128">
        <v>1</v>
      </c>
      <c r="O128">
        <v>0</v>
      </c>
      <c r="P128">
        <v>0</v>
      </c>
      <c r="R128">
        <v>0</v>
      </c>
      <c r="S128" s="7">
        <v>0</v>
      </c>
      <c r="T128">
        <v>0</v>
      </c>
      <c r="U128">
        <v>0</v>
      </c>
      <c r="V128">
        <v>0</v>
      </c>
      <c r="W128">
        <f t="shared" si="4"/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5">
      <c r="A129">
        <v>128</v>
      </c>
      <c r="B129" t="s">
        <v>107</v>
      </c>
      <c r="C129" s="1" t="s">
        <v>108</v>
      </c>
      <c r="D129" t="s">
        <v>47</v>
      </c>
      <c r="E129" t="s">
        <v>109</v>
      </c>
      <c r="F129">
        <v>10941</v>
      </c>
      <c r="G129">
        <v>79.995613070000005</v>
      </c>
      <c r="H129" s="14">
        <v>0</v>
      </c>
      <c r="K129">
        <v>0</v>
      </c>
      <c r="L129">
        <v>0</v>
      </c>
      <c r="M129" s="14">
        <v>0</v>
      </c>
      <c r="N129">
        <v>1</v>
      </c>
      <c r="O129">
        <v>0</v>
      </c>
      <c r="P129">
        <v>0</v>
      </c>
      <c r="R129">
        <v>0</v>
      </c>
      <c r="S129" s="7">
        <v>0</v>
      </c>
      <c r="T129">
        <v>0</v>
      </c>
      <c r="U129">
        <v>0</v>
      </c>
      <c r="V129">
        <v>0</v>
      </c>
      <c r="W129">
        <f t="shared" si="4"/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5">
      <c r="A130">
        <v>129</v>
      </c>
      <c r="B130" t="s">
        <v>110</v>
      </c>
      <c r="C130" s="1" t="s">
        <v>111</v>
      </c>
      <c r="D130" t="s">
        <v>15</v>
      </c>
      <c r="E130" t="s">
        <v>112</v>
      </c>
      <c r="F130">
        <v>10941</v>
      </c>
      <c r="G130">
        <v>79.995613070000005</v>
      </c>
      <c r="H130" s="14">
        <v>0</v>
      </c>
      <c r="K130">
        <v>0</v>
      </c>
      <c r="L130">
        <v>0</v>
      </c>
      <c r="M130" s="14">
        <v>0</v>
      </c>
      <c r="N130">
        <v>1</v>
      </c>
      <c r="O130">
        <v>0</v>
      </c>
      <c r="P130">
        <v>0</v>
      </c>
      <c r="R130">
        <v>0</v>
      </c>
      <c r="S130" s="7">
        <v>0</v>
      </c>
      <c r="T130">
        <v>0</v>
      </c>
      <c r="U130">
        <v>0</v>
      </c>
      <c r="V130">
        <v>0</v>
      </c>
      <c r="W130">
        <f t="shared" si="4"/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5">
      <c r="A131">
        <v>130</v>
      </c>
      <c r="B131" t="s">
        <v>113</v>
      </c>
      <c r="C131" s="1" t="s">
        <v>114</v>
      </c>
      <c r="D131" t="s">
        <v>15</v>
      </c>
      <c r="E131" t="s">
        <v>36</v>
      </c>
      <c r="F131">
        <v>11542</v>
      </c>
      <c r="G131">
        <v>84.389851579999998</v>
      </c>
      <c r="H131" s="14">
        <v>0</v>
      </c>
      <c r="K131">
        <v>0</v>
      </c>
      <c r="L131">
        <v>0</v>
      </c>
      <c r="M131" s="14">
        <v>0</v>
      </c>
      <c r="N131">
        <v>1</v>
      </c>
      <c r="O131">
        <v>0</v>
      </c>
      <c r="P131">
        <v>0</v>
      </c>
      <c r="R131">
        <v>0</v>
      </c>
      <c r="S131" s="7">
        <v>0</v>
      </c>
      <c r="T131">
        <v>0</v>
      </c>
      <c r="U131">
        <v>0</v>
      </c>
      <c r="V131">
        <v>0</v>
      </c>
      <c r="W131">
        <f t="shared" si="4"/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5">
      <c r="A132">
        <v>131</v>
      </c>
      <c r="B132" t="s">
        <v>115</v>
      </c>
      <c r="C132" s="1" t="s">
        <v>116</v>
      </c>
      <c r="D132" t="s">
        <v>15</v>
      </c>
      <c r="E132" t="s">
        <v>36</v>
      </c>
      <c r="F132">
        <v>2356</v>
      </c>
      <c r="G132">
        <v>17.23</v>
      </c>
      <c r="H132" s="14">
        <v>0</v>
      </c>
      <c r="K132">
        <v>0</v>
      </c>
      <c r="L132">
        <v>0</v>
      </c>
      <c r="M132" s="14">
        <v>0</v>
      </c>
      <c r="N132">
        <v>1</v>
      </c>
      <c r="O132">
        <v>0</v>
      </c>
      <c r="P132">
        <v>0</v>
      </c>
      <c r="R132">
        <v>0</v>
      </c>
      <c r="S132" s="7">
        <v>0</v>
      </c>
      <c r="T132">
        <v>0</v>
      </c>
      <c r="U132">
        <v>0</v>
      </c>
      <c r="V132">
        <v>0</v>
      </c>
      <c r="W132">
        <f t="shared" si="4"/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5">
      <c r="A133">
        <v>132</v>
      </c>
      <c r="B133" t="s">
        <v>117</v>
      </c>
      <c r="C133" s="1" t="s">
        <v>118</v>
      </c>
      <c r="D133" t="s">
        <v>15</v>
      </c>
      <c r="E133" t="s">
        <v>36</v>
      </c>
      <c r="F133">
        <v>220</v>
      </c>
      <c r="G133">
        <v>1.608539884</v>
      </c>
      <c r="H133" s="14">
        <v>0</v>
      </c>
      <c r="K133">
        <v>0</v>
      </c>
      <c r="L133">
        <v>0</v>
      </c>
      <c r="M133" s="14">
        <v>0</v>
      </c>
      <c r="N133">
        <v>1</v>
      </c>
      <c r="O133">
        <v>0</v>
      </c>
      <c r="P133">
        <v>0</v>
      </c>
      <c r="R133">
        <v>0</v>
      </c>
      <c r="S133" s="7">
        <v>0</v>
      </c>
      <c r="T133">
        <v>0</v>
      </c>
      <c r="U133">
        <v>0</v>
      </c>
      <c r="V133">
        <v>0</v>
      </c>
      <c r="W133">
        <f t="shared" si="4"/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5">
      <c r="A134">
        <v>133</v>
      </c>
      <c r="B134" t="s">
        <v>119</v>
      </c>
      <c r="C134" s="1" t="s">
        <v>120</v>
      </c>
      <c r="D134" t="s">
        <v>47</v>
      </c>
      <c r="E134" t="s">
        <v>121</v>
      </c>
      <c r="F134">
        <v>11067</v>
      </c>
      <c r="G134">
        <v>80.916867730000007</v>
      </c>
      <c r="H134" s="14">
        <v>0</v>
      </c>
      <c r="K134">
        <v>0</v>
      </c>
      <c r="L134">
        <v>0</v>
      </c>
      <c r="M134" s="14">
        <v>0</v>
      </c>
      <c r="N134">
        <v>1</v>
      </c>
      <c r="O134">
        <v>0</v>
      </c>
      <c r="P134">
        <v>0</v>
      </c>
      <c r="R134">
        <v>0</v>
      </c>
      <c r="S134" s="7">
        <v>0</v>
      </c>
      <c r="T134">
        <v>0</v>
      </c>
      <c r="U134">
        <v>0</v>
      </c>
      <c r="V134">
        <v>0</v>
      </c>
      <c r="W134">
        <f t="shared" si="4"/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5">
      <c r="A135">
        <v>134</v>
      </c>
      <c r="B135" t="s">
        <v>122</v>
      </c>
      <c r="C135" s="1" t="s">
        <v>123</v>
      </c>
      <c r="D135" t="s">
        <v>15</v>
      </c>
      <c r="E135" t="s">
        <v>124</v>
      </c>
      <c r="F135">
        <v>11067</v>
      </c>
      <c r="G135">
        <v>80.916867730000007</v>
      </c>
      <c r="H135" s="14">
        <v>0</v>
      </c>
      <c r="K135">
        <v>0</v>
      </c>
      <c r="L135">
        <v>0</v>
      </c>
      <c r="M135" s="14">
        <v>0</v>
      </c>
      <c r="N135">
        <v>1</v>
      </c>
      <c r="O135">
        <v>0</v>
      </c>
      <c r="P135">
        <v>0</v>
      </c>
      <c r="R135">
        <v>0</v>
      </c>
      <c r="S135" s="7">
        <v>0</v>
      </c>
      <c r="T135">
        <v>0</v>
      </c>
      <c r="U135">
        <v>0</v>
      </c>
      <c r="V135">
        <v>0</v>
      </c>
      <c r="W135">
        <f t="shared" si="4"/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5">
      <c r="A136">
        <v>135</v>
      </c>
      <c r="B136" t="s">
        <v>125</v>
      </c>
      <c r="C136" s="1" t="s">
        <v>126</v>
      </c>
      <c r="D136" t="s">
        <v>15</v>
      </c>
      <c r="E136" t="s">
        <v>36</v>
      </c>
      <c r="F136">
        <v>11537</v>
      </c>
      <c r="G136">
        <v>84.35329385</v>
      </c>
      <c r="H136" s="14">
        <v>0</v>
      </c>
      <c r="K136">
        <v>0</v>
      </c>
      <c r="L136">
        <v>0</v>
      </c>
      <c r="M136" s="14">
        <v>0</v>
      </c>
      <c r="N136">
        <v>1</v>
      </c>
      <c r="O136">
        <v>0</v>
      </c>
      <c r="P136">
        <v>0</v>
      </c>
      <c r="R136">
        <v>0</v>
      </c>
      <c r="S136" s="7">
        <v>0</v>
      </c>
      <c r="T136">
        <v>0</v>
      </c>
      <c r="U136">
        <v>0</v>
      </c>
      <c r="V136">
        <v>0</v>
      </c>
      <c r="W136">
        <f t="shared" si="4"/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5">
      <c r="A137">
        <v>136</v>
      </c>
      <c r="B137" t="s">
        <v>127</v>
      </c>
      <c r="C137" s="1" t="s">
        <v>128</v>
      </c>
      <c r="D137" t="s">
        <v>15</v>
      </c>
      <c r="E137" t="s">
        <v>36</v>
      </c>
      <c r="F137">
        <v>2150</v>
      </c>
      <c r="G137">
        <v>15.7198216</v>
      </c>
      <c r="H137" s="14">
        <v>0</v>
      </c>
      <c r="K137">
        <v>0</v>
      </c>
      <c r="L137">
        <v>0</v>
      </c>
      <c r="M137" s="14">
        <v>0</v>
      </c>
      <c r="N137">
        <v>1</v>
      </c>
      <c r="O137">
        <v>0</v>
      </c>
      <c r="P137">
        <v>0</v>
      </c>
      <c r="R137">
        <v>0</v>
      </c>
      <c r="S137" s="7">
        <v>0</v>
      </c>
      <c r="T137">
        <v>0</v>
      </c>
      <c r="U137">
        <v>0</v>
      </c>
      <c r="V137">
        <v>0</v>
      </c>
      <c r="W137">
        <f t="shared" si="4"/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5">
      <c r="A138">
        <v>137</v>
      </c>
      <c r="B138" t="s">
        <v>129</v>
      </c>
      <c r="C138" s="1" t="s">
        <v>130</v>
      </c>
      <c r="D138" t="s">
        <v>15</v>
      </c>
      <c r="E138" t="s">
        <v>82</v>
      </c>
      <c r="F138">
        <v>219</v>
      </c>
      <c r="G138">
        <v>1.60122834</v>
      </c>
      <c r="H138" s="14">
        <v>0</v>
      </c>
      <c r="K138">
        <v>0</v>
      </c>
      <c r="L138">
        <v>0</v>
      </c>
      <c r="M138" s="14">
        <v>0</v>
      </c>
      <c r="N138">
        <v>1</v>
      </c>
      <c r="O138">
        <v>0</v>
      </c>
      <c r="P138">
        <v>0</v>
      </c>
      <c r="R138">
        <v>0</v>
      </c>
      <c r="S138" s="7">
        <v>0</v>
      </c>
      <c r="T138">
        <v>0</v>
      </c>
      <c r="U138">
        <v>0</v>
      </c>
      <c r="V138">
        <v>0</v>
      </c>
      <c r="W138">
        <f t="shared" si="4"/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5">
      <c r="A139">
        <v>138</v>
      </c>
      <c r="B139" t="s">
        <v>131</v>
      </c>
      <c r="C139" s="1" t="s">
        <v>132</v>
      </c>
      <c r="D139" t="s">
        <v>47</v>
      </c>
      <c r="E139" t="s">
        <v>133</v>
      </c>
      <c r="F139">
        <v>11182</v>
      </c>
      <c r="G139">
        <v>81.757695400000003</v>
      </c>
      <c r="H139" s="14">
        <v>0</v>
      </c>
      <c r="K139">
        <v>0</v>
      </c>
      <c r="L139">
        <v>0</v>
      </c>
      <c r="M139" s="14">
        <v>0</v>
      </c>
      <c r="N139">
        <v>1</v>
      </c>
      <c r="O139">
        <v>0</v>
      </c>
      <c r="P139">
        <v>0</v>
      </c>
      <c r="R139">
        <v>0</v>
      </c>
      <c r="S139" s="7">
        <v>0</v>
      </c>
      <c r="T139">
        <v>0</v>
      </c>
      <c r="U139">
        <v>0</v>
      </c>
      <c r="V139">
        <v>0</v>
      </c>
      <c r="W139">
        <f t="shared" si="4"/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5">
      <c r="A140">
        <v>139</v>
      </c>
      <c r="B140" t="s">
        <v>134</v>
      </c>
      <c r="C140" s="1" t="s">
        <v>135</v>
      </c>
      <c r="D140" t="s">
        <v>15</v>
      </c>
      <c r="E140" t="s">
        <v>136</v>
      </c>
      <c r="F140">
        <v>11182</v>
      </c>
      <c r="G140">
        <v>81.757695400000003</v>
      </c>
      <c r="H140" s="14">
        <v>0</v>
      </c>
      <c r="K140">
        <v>0</v>
      </c>
      <c r="L140">
        <v>0</v>
      </c>
      <c r="M140" s="14">
        <v>0</v>
      </c>
      <c r="N140">
        <v>1</v>
      </c>
      <c r="O140">
        <v>0</v>
      </c>
      <c r="P140">
        <v>0</v>
      </c>
      <c r="R140">
        <v>0</v>
      </c>
      <c r="S140" s="7">
        <v>0</v>
      </c>
      <c r="T140">
        <v>0</v>
      </c>
      <c r="U140">
        <v>0</v>
      </c>
      <c r="V140">
        <v>0</v>
      </c>
      <c r="W140">
        <f t="shared" si="4"/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5">
      <c r="A141">
        <v>140</v>
      </c>
      <c r="B141" t="s">
        <v>137</v>
      </c>
      <c r="C141" s="1" t="s">
        <v>138</v>
      </c>
      <c r="D141" t="s">
        <v>15</v>
      </c>
      <c r="E141" t="s">
        <v>36</v>
      </c>
      <c r="F141">
        <v>11543</v>
      </c>
      <c r="G141">
        <v>84.397163120000002</v>
      </c>
      <c r="H141" s="14">
        <v>0</v>
      </c>
      <c r="K141">
        <v>0</v>
      </c>
      <c r="L141">
        <v>0</v>
      </c>
      <c r="M141" s="14">
        <v>0</v>
      </c>
      <c r="N141">
        <v>1</v>
      </c>
      <c r="O141">
        <v>0</v>
      </c>
      <c r="P141">
        <v>0</v>
      </c>
      <c r="R141">
        <v>0</v>
      </c>
      <c r="S141" s="7">
        <v>0</v>
      </c>
      <c r="T141">
        <v>0</v>
      </c>
      <c r="U141">
        <v>0</v>
      </c>
      <c r="V141">
        <v>0</v>
      </c>
      <c r="W141">
        <f t="shared" si="4"/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5">
      <c r="A142">
        <v>141</v>
      </c>
      <c r="B142" t="s">
        <v>139</v>
      </c>
      <c r="C142" s="1" t="s">
        <v>140</v>
      </c>
      <c r="D142" t="s">
        <v>15</v>
      </c>
      <c r="E142" t="s">
        <v>36</v>
      </c>
      <c r="F142">
        <v>2143</v>
      </c>
      <c r="G142">
        <v>15.66864078</v>
      </c>
      <c r="H142" s="14">
        <v>0</v>
      </c>
      <c r="K142">
        <v>0</v>
      </c>
      <c r="L142">
        <v>0</v>
      </c>
      <c r="M142" s="14">
        <v>0</v>
      </c>
      <c r="N142">
        <v>1</v>
      </c>
      <c r="O142">
        <v>0</v>
      </c>
      <c r="P142">
        <v>0</v>
      </c>
      <c r="R142">
        <v>0</v>
      </c>
      <c r="S142" s="7">
        <v>0</v>
      </c>
      <c r="T142">
        <v>0</v>
      </c>
      <c r="U142">
        <v>0</v>
      </c>
      <c r="V142">
        <v>0</v>
      </c>
      <c r="W142">
        <f t="shared" si="4"/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5">
      <c r="A143">
        <v>142</v>
      </c>
      <c r="B143" t="s">
        <v>141</v>
      </c>
      <c r="C143" s="1" t="s">
        <v>142</v>
      </c>
      <c r="D143" t="s">
        <v>15</v>
      </c>
      <c r="E143" t="s">
        <v>36</v>
      </c>
      <c r="F143">
        <v>252</v>
      </c>
      <c r="G143">
        <v>1.8425093219999999</v>
      </c>
      <c r="H143" s="14">
        <v>0</v>
      </c>
      <c r="K143">
        <v>0</v>
      </c>
      <c r="L143">
        <v>0</v>
      </c>
      <c r="M143" s="14">
        <v>0</v>
      </c>
      <c r="N143">
        <v>1</v>
      </c>
      <c r="O143">
        <v>0</v>
      </c>
      <c r="P143">
        <v>0</v>
      </c>
      <c r="R143">
        <v>0</v>
      </c>
      <c r="S143" s="7">
        <v>0</v>
      </c>
      <c r="T143">
        <v>0</v>
      </c>
      <c r="U143">
        <v>0</v>
      </c>
      <c r="V143">
        <v>0</v>
      </c>
      <c r="W143">
        <f t="shared" si="4"/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5">
      <c r="A144">
        <v>143</v>
      </c>
      <c r="B144" t="s">
        <v>143</v>
      </c>
      <c r="C144" s="1" t="s">
        <v>144</v>
      </c>
      <c r="D144" t="s">
        <v>47</v>
      </c>
      <c r="E144" t="s">
        <v>145</v>
      </c>
      <c r="F144">
        <v>11256</v>
      </c>
      <c r="G144">
        <v>82.298749729999997</v>
      </c>
      <c r="H144" s="14">
        <v>0</v>
      </c>
      <c r="K144">
        <v>0</v>
      </c>
      <c r="L144">
        <v>0</v>
      </c>
      <c r="M144" s="14">
        <v>0</v>
      </c>
      <c r="N144">
        <v>1</v>
      </c>
      <c r="O144">
        <v>0</v>
      </c>
      <c r="P144">
        <v>0</v>
      </c>
      <c r="R144">
        <v>0</v>
      </c>
      <c r="S144" s="7">
        <v>0</v>
      </c>
      <c r="T144">
        <v>0</v>
      </c>
      <c r="U144">
        <v>0</v>
      </c>
      <c r="V144">
        <v>0</v>
      </c>
      <c r="W144">
        <f t="shared" si="4"/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5">
      <c r="A145">
        <v>144</v>
      </c>
      <c r="B145" t="s">
        <v>146</v>
      </c>
      <c r="C145" s="1" t="s">
        <v>147</v>
      </c>
      <c r="D145" t="s">
        <v>15</v>
      </c>
      <c r="E145" t="s">
        <v>148</v>
      </c>
      <c r="F145">
        <v>11256</v>
      </c>
      <c r="G145">
        <v>82.298749729999997</v>
      </c>
      <c r="H145" s="14">
        <v>0</v>
      </c>
      <c r="K145">
        <v>0</v>
      </c>
      <c r="L145">
        <v>0</v>
      </c>
      <c r="M145" s="14">
        <v>0</v>
      </c>
      <c r="N145">
        <v>1</v>
      </c>
      <c r="O145">
        <v>0</v>
      </c>
      <c r="P145">
        <v>0</v>
      </c>
      <c r="R145">
        <v>0</v>
      </c>
      <c r="S145" s="7">
        <v>0</v>
      </c>
      <c r="T145">
        <v>0</v>
      </c>
      <c r="U145">
        <v>0</v>
      </c>
      <c r="V145">
        <v>0</v>
      </c>
      <c r="W145">
        <f t="shared" si="4"/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5">
      <c r="A146">
        <v>145</v>
      </c>
      <c r="B146" t="s">
        <v>149</v>
      </c>
      <c r="C146" s="1" t="s">
        <v>150</v>
      </c>
      <c r="D146" t="s">
        <v>15</v>
      </c>
      <c r="E146" t="s">
        <v>36</v>
      </c>
      <c r="F146">
        <v>11489</v>
      </c>
      <c r="G146">
        <v>84.002339689999999</v>
      </c>
      <c r="H146" s="14">
        <v>0</v>
      </c>
      <c r="K146">
        <v>0</v>
      </c>
      <c r="L146">
        <v>0</v>
      </c>
      <c r="M146" s="14">
        <v>0</v>
      </c>
      <c r="N146">
        <v>1</v>
      </c>
      <c r="O146">
        <v>0</v>
      </c>
      <c r="P146">
        <v>0</v>
      </c>
      <c r="R146">
        <v>0</v>
      </c>
      <c r="S146" s="7">
        <v>0</v>
      </c>
      <c r="T146">
        <v>0</v>
      </c>
      <c r="U146">
        <v>0</v>
      </c>
      <c r="V146">
        <v>0</v>
      </c>
      <c r="W146">
        <f t="shared" si="4"/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5">
      <c r="A147">
        <v>146</v>
      </c>
      <c r="B147" t="s">
        <v>151</v>
      </c>
      <c r="C147" s="1" t="s">
        <v>152</v>
      </c>
      <c r="D147" t="s">
        <v>15</v>
      </c>
      <c r="E147" t="s">
        <v>36</v>
      </c>
      <c r="F147">
        <v>4424</v>
      </c>
      <c r="G147">
        <v>32.346274770000001</v>
      </c>
      <c r="H147" s="14">
        <v>0</v>
      </c>
      <c r="K147">
        <v>0</v>
      </c>
      <c r="L147">
        <v>0</v>
      </c>
      <c r="M147" s="14">
        <v>0</v>
      </c>
      <c r="N147">
        <v>1</v>
      </c>
      <c r="O147">
        <v>0</v>
      </c>
      <c r="P147">
        <v>0</v>
      </c>
      <c r="R147">
        <v>0</v>
      </c>
      <c r="S147" s="7">
        <v>0</v>
      </c>
      <c r="T147">
        <v>0</v>
      </c>
      <c r="U147">
        <v>0</v>
      </c>
      <c r="V147">
        <v>0</v>
      </c>
      <c r="W147">
        <f t="shared" si="4"/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5">
      <c r="A148">
        <v>147</v>
      </c>
      <c r="B148" t="s">
        <v>153</v>
      </c>
      <c r="C148" s="1" t="s">
        <v>154</v>
      </c>
      <c r="D148" t="s">
        <v>15</v>
      </c>
      <c r="E148" t="s">
        <v>36</v>
      </c>
      <c r="F148">
        <v>452</v>
      </c>
      <c r="G148">
        <v>3.3048183080000002</v>
      </c>
      <c r="H148" s="14">
        <v>0</v>
      </c>
      <c r="K148">
        <v>0</v>
      </c>
      <c r="L148">
        <v>0</v>
      </c>
      <c r="M148" s="14">
        <v>0</v>
      </c>
      <c r="N148">
        <v>1</v>
      </c>
      <c r="O148">
        <v>0</v>
      </c>
      <c r="P148">
        <v>0</v>
      </c>
      <c r="R148">
        <v>0</v>
      </c>
      <c r="S148" s="7">
        <v>0</v>
      </c>
      <c r="T148">
        <v>0</v>
      </c>
      <c r="U148">
        <v>0</v>
      </c>
      <c r="V148">
        <v>0</v>
      </c>
      <c r="W148">
        <f t="shared" si="4"/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5">
      <c r="A149">
        <v>148</v>
      </c>
      <c r="B149" t="s">
        <v>155</v>
      </c>
      <c r="C149" s="1" t="s">
        <v>156</v>
      </c>
      <c r="D149" t="s">
        <v>47</v>
      </c>
      <c r="E149" t="s">
        <v>51</v>
      </c>
      <c r="F149">
        <v>11312</v>
      </c>
      <c r="G149">
        <v>82.71</v>
      </c>
      <c r="H149" s="14">
        <v>0</v>
      </c>
      <c r="K149">
        <v>0</v>
      </c>
      <c r="L149">
        <v>0</v>
      </c>
      <c r="M149" s="14">
        <v>0</v>
      </c>
      <c r="N149">
        <v>1</v>
      </c>
      <c r="O149">
        <v>0</v>
      </c>
      <c r="P149">
        <v>0</v>
      </c>
      <c r="R149">
        <v>0</v>
      </c>
      <c r="S149" s="7">
        <v>0</v>
      </c>
      <c r="T149">
        <v>0</v>
      </c>
      <c r="U149">
        <v>0</v>
      </c>
      <c r="V149">
        <v>0</v>
      </c>
      <c r="W149">
        <f t="shared" si="4"/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5">
      <c r="A150">
        <v>149</v>
      </c>
      <c r="B150" t="s">
        <v>157</v>
      </c>
      <c r="C150" s="1" t="s">
        <v>158</v>
      </c>
      <c r="D150" t="s">
        <v>15</v>
      </c>
      <c r="E150" t="s">
        <v>65</v>
      </c>
      <c r="F150">
        <v>11312</v>
      </c>
      <c r="G150">
        <v>82.71</v>
      </c>
      <c r="H150" s="14">
        <v>0</v>
      </c>
      <c r="K150">
        <v>0</v>
      </c>
      <c r="L150">
        <v>0</v>
      </c>
      <c r="M150" s="14">
        <v>0</v>
      </c>
      <c r="N150">
        <v>1</v>
      </c>
      <c r="O150">
        <v>0</v>
      </c>
      <c r="P150">
        <v>0</v>
      </c>
      <c r="R150">
        <v>0</v>
      </c>
      <c r="S150" s="7">
        <v>0</v>
      </c>
      <c r="T150">
        <v>0</v>
      </c>
      <c r="U150">
        <v>0</v>
      </c>
      <c r="V150">
        <v>0</v>
      </c>
      <c r="W150">
        <f t="shared" si="4"/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5">
      <c r="A151">
        <v>150</v>
      </c>
      <c r="B151" t="s">
        <v>159</v>
      </c>
      <c r="C151" s="1" t="s">
        <v>160</v>
      </c>
      <c r="D151" t="s">
        <v>15</v>
      </c>
      <c r="E151" t="s">
        <v>36</v>
      </c>
      <c r="F151">
        <v>11461</v>
      </c>
      <c r="G151">
        <v>83.797616439999999</v>
      </c>
      <c r="H151" s="14">
        <v>0</v>
      </c>
      <c r="K151">
        <v>0</v>
      </c>
      <c r="L151">
        <v>0</v>
      </c>
      <c r="M151" s="14">
        <v>0</v>
      </c>
      <c r="N151">
        <v>1</v>
      </c>
      <c r="O151">
        <v>0</v>
      </c>
      <c r="P151">
        <v>0</v>
      </c>
      <c r="R151">
        <v>0</v>
      </c>
      <c r="S151" s="7">
        <v>0</v>
      </c>
      <c r="T151">
        <v>0</v>
      </c>
      <c r="U151">
        <v>0</v>
      </c>
      <c r="V151">
        <v>0</v>
      </c>
      <c r="W151">
        <f t="shared" si="4"/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5">
      <c r="A152">
        <v>151</v>
      </c>
      <c r="B152" t="s">
        <v>161</v>
      </c>
      <c r="C152" s="1" t="s">
        <v>162</v>
      </c>
      <c r="D152" t="s">
        <v>15</v>
      </c>
      <c r="E152" t="s">
        <v>36</v>
      </c>
      <c r="F152">
        <v>5080</v>
      </c>
      <c r="G152">
        <v>37.14264824</v>
      </c>
      <c r="H152" s="14">
        <v>0</v>
      </c>
      <c r="K152">
        <v>0</v>
      </c>
      <c r="L152">
        <v>0</v>
      </c>
      <c r="M152" s="14">
        <v>0</v>
      </c>
      <c r="N152">
        <v>1</v>
      </c>
      <c r="O152">
        <v>0</v>
      </c>
      <c r="P152">
        <v>0</v>
      </c>
      <c r="R152">
        <v>0</v>
      </c>
      <c r="S152" s="7">
        <v>0</v>
      </c>
      <c r="T152">
        <v>0</v>
      </c>
      <c r="U152">
        <v>0</v>
      </c>
      <c r="V152">
        <v>0</v>
      </c>
      <c r="W152">
        <f t="shared" si="4"/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5">
      <c r="A153">
        <v>152</v>
      </c>
      <c r="B153" t="s">
        <v>163</v>
      </c>
      <c r="C153" s="1" t="s">
        <v>164</v>
      </c>
      <c r="D153" t="s">
        <v>15</v>
      </c>
      <c r="E153" t="s">
        <v>36</v>
      </c>
      <c r="F153">
        <v>566</v>
      </c>
      <c r="G153">
        <v>4.1383344299999996</v>
      </c>
      <c r="H153" s="14">
        <v>0</v>
      </c>
      <c r="K153">
        <v>0</v>
      </c>
      <c r="L153">
        <v>0</v>
      </c>
      <c r="M153" s="14">
        <v>0</v>
      </c>
      <c r="N153">
        <v>1</v>
      </c>
      <c r="O153">
        <v>0</v>
      </c>
      <c r="P153">
        <v>0</v>
      </c>
      <c r="R153">
        <v>0</v>
      </c>
      <c r="S153" s="7">
        <v>0</v>
      </c>
      <c r="T153">
        <v>0</v>
      </c>
      <c r="U153">
        <v>0</v>
      </c>
      <c r="V153">
        <v>0</v>
      </c>
      <c r="W153">
        <f t="shared" si="4"/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5">
      <c r="A154">
        <v>153</v>
      </c>
      <c r="B154" t="s">
        <v>457</v>
      </c>
      <c r="C154" s="1" t="s">
        <v>449</v>
      </c>
      <c r="D154" t="s">
        <v>294</v>
      </c>
      <c r="H154" s="14">
        <v>1</v>
      </c>
      <c r="Q154" s="6"/>
      <c r="R154" s="7"/>
      <c r="S154" s="7"/>
    </row>
    <row r="155" spans="1:27" x14ac:dyDescent="0.25">
      <c r="A155">
        <v>154</v>
      </c>
      <c r="B155" t="s">
        <v>458</v>
      </c>
      <c r="C155" s="1" t="s">
        <v>450</v>
      </c>
      <c r="D155" t="s">
        <v>294</v>
      </c>
      <c r="H155" s="14">
        <v>1</v>
      </c>
      <c r="S155" s="7"/>
    </row>
    <row r="156" spans="1:27" ht="30" x14ac:dyDescent="0.25">
      <c r="A156">
        <v>155</v>
      </c>
      <c r="B156" t="s">
        <v>454</v>
      </c>
      <c r="C156" s="1" t="s">
        <v>451</v>
      </c>
      <c r="D156" t="s">
        <v>294</v>
      </c>
      <c r="H156" s="14">
        <v>1</v>
      </c>
      <c r="Q156" s="6"/>
      <c r="R156" s="7"/>
      <c r="S156" s="7"/>
    </row>
    <row r="157" spans="1:27" x14ac:dyDescent="0.25">
      <c r="A157">
        <v>156</v>
      </c>
      <c r="B157" t="s">
        <v>455</v>
      </c>
      <c r="C157" s="1" t="s">
        <v>452</v>
      </c>
      <c r="D157" t="s">
        <v>294</v>
      </c>
      <c r="H157" s="14">
        <v>1</v>
      </c>
      <c r="Q157" s="6"/>
      <c r="R157" s="7"/>
      <c r="S157" s="7"/>
    </row>
    <row r="158" spans="1:27" x14ac:dyDescent="0.25">
      <c r="A158">
        <v>157</v>
      </c>
      <c r="B158" t="s">
        <v>456</v>
      </c>
      <c r="C158" s="1" t="s">
        <v>453</v>
      </c>
      <c r="D158" t="s">
        <v>294</v>
      </c>
      <c r="H158" s="14">
        <v>1</v>
      </c>
      <c r="Q158" s="6"/>
      <c r="R158" s="7"/>
      <c r="S158" s="7"/>
    </row>
    <row r="159" spans="1:27" x14ac:dyDescent="0.25">
      <c r="S159" s="7"/>
    </row>
  </sheetData>
  <autoFilter ref="A1:AA158" xr:uid="{B3C50B39-CF96-40BE-8BED-408355E6C9A9}"/>
  <conditionalFormatting sqref="H1:M1048576">
    <cfRule type="containsText" dxfId="15" priority="1" operator="containsText" text="1">
      <formula>NOT(ISERROR(SEARCH("1",H1)))</formula>
    </cfRule>
  </conditionalFormatting>
  <conditionalFormatting sqref="I1:I135">
    <cfRule type="top10" dxfId="14" priority="122" percent="1" rank="30"/>
  </conditionalFormatting>
  <conditionalFormatting sqref="J1:J135">
    <cfRule type="top10" dxfId="13" priority="124" percent="1" rank="30"/>
  </conditionalFormatting>
  <conditionalFormatting sqref="O1:P1 O3:P1048576">
    <cfRule type="cellIs" dxfId="12" priority="32" operator="equal">
      <formula>1</formula>
    </cfRule>
  </conditionalFormatting>
  <conditionalFormatting sqref="O1:P1048576 S2:V1048576">
    <cfRule type="containsText" dxfId="11" priority="19" operator="containsText" text="1">
      <formula>NOT(ISERROR(SEARCH("1",O1)))</formula>
    </cfRule>
  </conditionalFormatting>
  <conditionalFormatting sqref="O2:P2 N1:N1048576">
    <cfRule type="cellIs" dxfId="10" priority="33" operator="equal">
      <formula>1</formula>
    </cfRule>
  </conditionalFormatting>
  <conditionalFormatting sqref="P1:P1048576">
    <cfRule type="containsText" dxfId="9" priority="20" operator="containsText" text="1">
      <formula>NOT(ISERROR(SEARCH("1",P1)))</formula>
    </cfRule>
  </conditionalFormatting>
  <conditionalFormatting sqref="Q1:Q1048576">
    <cfRule type="top10" dxfId="8" priority="16" bottom="1" rank="10"/>
    <cfRule type="top10" dxfId="7" priority="17" bottom="1" rank="20"/>
  </conditionalFormatting>
  <conditionalFormatting sqref="R1:R1048576">
    <cfRule type="top10" dxfId="6" priority="15" rank="10"/>
  </conditionalFormatting>
  <conditionalFormatting sqref="T1:V1">
    <cfRule type="containsText" dxfId="5" priority="14" operator="containsText" text="1">
      <formula>NOT(ISERROR(SEARCH("1",T1)))</formula>
    </cfRule>
  </conditionalFormatting>
  <conditionalFormatting sqref="W1:W1048576">
    <cfRule type="top10" dxfId="4" priority="13" percent="1" rank="10"/>
  </conditionalFormatting>
  <conditionalFormatting sqref="X2:AA1048576">
    <cfRule type="containsText" dxfId="3" priority="3" operator="containsText" text="1">
      <formula>NOT(ISERROR(SEARCH("1",X2)))</formula>
    </cfRule>
  </conditionalFormatting>
  <conditionalFormatting sqref="Y1:AA1">
    <cfRule type="containsText" dxfId="2" priority="12" operator="containsText" text="1">
      <formula>NOT(ISERROR(SEARCH("1",Y1)))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A3055-6BDE-47F3-9693-626A066CCB19}">
  <dimension ref="A1:C86"/>
  <sheetViews>
    <sheetView workbookViewId="0">
      <selection activeCell="A59" sqref="A59"/>
    </sheetView>
  </sheetViews>
  <sheetFormatPr defaultRowHeight="15" x14ac:dyDescent="0.25"/>
  <cols>
    <col min="1" max="1" width="49.28515625" bestFit="1" customWidth="1"/>
    <col min="2" max="2" width="15.7109375" customWidth="1"/>
    <col min="3" max="3" width="21.5703125" customWidth="1"/>
  </cols>
  <sheetData>
    <row r="1" spans="1:3" x14ac:dyDescent="0.25">
      <c r="A1" s="11" t="s">
        <v>439</v>
      </c>
      <c r="B1" s="11" t="s">
        <v>443</v>
      </c>
      <c r="C1" s="11" t="s">
        <v>444</v>
      </c>
    </row>
    <row r="2" spans="1:3" x14ac:dyDescent="0.25">
      <c r="A2" t="s">
        <v>13</v>
      </c>
      <c r="B2">
        <v>0.13310433924198151</v>
      </c>
      <c r="C2">
        <v>0.21077018976211551</v>
      </c>
    </row>
    <row r="3" spans="1:3" x14ac:dyDescent="0.25">
      <c r="A3" t="s">
        <v>431</v>
      </c>
      <c r="B3">
        <v>5.7601574808359146E-3</v>
      </c>
    </row>
    <row r="4" spans="1:3" x14ac:dyDescent="0.25">
      <c r="A4" t="s">
        <v>332</v>
      </c>
      <c r="B4">
        <v>1.4292421750724321E-2</v>
      </c>
    </row>
    <row r="5" spans="1:3" x14ac:dyDescent="0.25">
      <c r="A5" t="s">
        <v>424</v>
      </c>
      <c r="B5">
        <v>1.553469523787498E-2</v>
      </c>
      <c r="C5">
        <v>3.8206033408641822E-2</v>
      </c>
    </row>
    <row r="6" spans="1:3" x14ac:dyDescent="0.25">
      <c r="A6" t="s">
        <v>311</v>
      </c>
      <c r="B6">
        <v>1.4037110842764379E-2</v>
      </c>
    </row>
    <row r="7" spans="1:3" x14ac:dyDescent="0.25">
      <c r="A7" t="s">
        <v>314</v>
      </c>
      <c r="B7">
        <v>5.6270225904881954E-3</v>
      </c>
    </row>
    <row r="8" spans="1:3" x14ac:dyDescent="0.25">
      <c r="A8" t="s">
        <v>296</v>
      </c>
      <c r="B8">
        <v>8.8195120915770531E-3</v>
      </c>
    </row>
    <row r="9" spans="1:3" x14ac:dyDescent="0.25">
      <c r="A9" t="s">
        <v>292</v>
      </c>
      <c r="B9">
        <v>4.7329938970506191E-3</v>
      </c>
      <c r="C9">
        <v>5.2094083279371262E-2</v>
      </c>
    </row>
    <row r="10" spans="1:3" x14ac:dyDescent="0.25">
      <c r="A10" t="s">
        <v>320</v>
      </c>
      <c r="B10">
        <v>8.2985172048211098E-3</v>
      </c>
    </row>
    <row r="11" spans="1:3" x14ac:dyDescent="0.25">
      <c r="A11" t="s">
        <v>323</v>
      </c>
      <c r="B11">
        <v>4.7046439722180367E-3</v>
      </c>
      <c r="C11">
        <v>1.2729484587907789E-2</v>
      </c>
    </row>
    <row r="12" spans="1:3" x14ac:dyDescent="0.25">
      <c r="A12" t="s">
        <v>299</v>
      </c>
      <c r="B12">
        <v>1.268123276531696E-2</v>
      </c>
    </row>
    <row r="13" spans="1:3" x14ac:dyDescent="0.25">
      <c r="A13" t="s">
        <v>308</v>
      </c>
      <c r="B13">
        <v>5.4952590726315984E-3</v>
      </c>
      <c r="C13">
        <v>1.242156606167555E-2</v>
      </c>
    </row>
    <row r="14" spans="1:3" x14ac:dyDescent="0.25">
      <c r="A14" t="s">
        <v>305</v>
      </c>
      <c r="B14">
        <v>4.8276912420988083E-3</v>
      </c>
      <c r="C14">
        <v>1.3041535392403601E-2</v>
      </c>
    </row>
    <row r="15" spans="1:3" x14ac:dyDescent="0.25">
      <c r="A15" t="s">
        <v>302</v>
      </c>
      <c r="B15">
        <v>6.7285904660820961E-3</v>
      </c>
    </row>
    <row r="16" spans="1:3" x14ac:dyDescent="0.25">
      <c r="A16" t="s">
        <v>344</v>
      </c>
      <c r="B16">
        <v>6.8519581109285346E-3</v>
      </c>
      <c r="C16">
        <v>1.5877114608883861E-2</v>
      </c>
    </row>
    <row r="17" spans="1:3" x14ac:dyDescent="0.25">
      <c r="A17" t="s">
        <v>317</v>
      </c>
      <c r="B17">
        <v>9.2260949313640594E-2</v>
      </c>
    </row>
    <row r="18" spans="1:3" x14ac:dyDescent="0.25">
      <c r="A18" t="s">
        <v>347</v>
      </c>
      <c r="B18">
        <v>5.970565602183342E-3</v>
      </c>
      <c r="C18">
        <v>1.2133852578699591E-2</v>
      </c>
    </row>
    <row r="19" spans="1:3" x14ac:dyDescent="0.25">
      <c r="A19" t="s">
        <v>31</v>
      </c>
      <c r="B19">
        <v>4.3580923229455948E-2</v>
      </c>
    </row>
    <row r="20" spans="1:3" x14ac:dyDescent="0.25">
      <c r="A20" t="s">
        <v>63</v>
      </c>
      <c r="B20">
        <v>2.297875285148621E-2</v>
      </c>
      <c r="C20">
        <v>8.2405805587768555E-2</v>
      </c>
    </row>
    <row r="21" spans="1:3" x14ac:dyDescent="0.25">
      <c r="A21" t="s">
        <v>69</v>
      </c>
      <c r="B21">
        <v>0.20950345695018771</v>
      </c>
    </row>
    <row r="22" spans="1:3" x14ac:dyDescent="0.25">
      <c r="A22" t="s">
        <v>45</v>
      </c>
      <c r="B22">
        <v>5.5063092149794102E-3</v>
      </c>
      <c r="C22">
        <v>1.8810136243700981E-2</v>
      </c>
    </row>
    <row r="23" spans="1:3" x14ac:dyDescent="0.25">
      <c r="A23" t="s">
        <v>49</v>
      </c>
      <c r="B23">
        <v>5.7358513586223134E-3</v>
      </c>
    </row>
    <row r="24" spans="1:3" x14ac:dyDescent="0.25">
      <c r="A24" t="s">
        <v>55</v>
      </c>
      <c r="B24">
        <v>5.4908203892409801E-3</v>
      </c>
    </row>
    <row r="25" spans="1:3" x14ac:dyDescent="0.25">
      <c r="A25" t="s">
        <v>52</v>
      </c>
      <c r="B25">
        <v>4.7966307029128066E-3</v>
      </c>
      <c r="C25">
        <v>1.1179866269230841E-2</v>
      </c>
    </row>
    <row r="26" spans="1:3" x14ac:dyDescent="0.25">
      <c r="A26" t="s">
        <v>61</v>
      </c>
      <c r="B26">
        <v>4.90910978987813E-3</v>
      </c>
    </row>
    <row r="27" spans="1:3" x14ac:dyDescent="0.25">
      <c r="A27" t="s">
        <v>66</v>
      </c>
      <c r="B27">
        <v>7.7305375598371029E-3</v>
      </c>
    </row>
    <row r="28" spans="1:3" x14ac:dyDescent="0.25">
      <c r="A28" t="s">
        <v>37</v>
      </c>
      <c r="B28">
        <v>1.244422420859337E-2</v>
      </c>
      <c r="C28">
        <v>2.65421885997057E-2</v>
      </c>
    </row>
    <row r="29" spans="1:3" x14ac:dyDescent="0.25">
      <c r="A29" t="s">
        <v>57</v>
      </c>
      <c r="B29">
        <v>4.768887534737587E-3</v>
      </c>
      <c r="C29">
        <v>1.0268864221870899E-2</v>
      </c>
    </row>
    <row r="30" spans="1:3" x14ac:dyDescent="0.25">
      <c r="A30" t="s">
        <v>28</v>
      </c>
      <c r="B30">
        <v>9.8400451242923737E-3</v>
      </c>
    </row>
    <row r="31" spans="1:3" x14ac:dyDescent="0.25">
      <c r="A31" t="s">
        <v>20</v>
      </c>
      <c r="B31">
        <v>3.4916370641440149E-3</v>
      </c>
      <c r="C31">
        <v>1.0768852196633819E-2</v>
      </c>
    </row>
    <row r="32" spans="1:3" x14ac:dyDescent="0.25">
      <c r="A32" t="s">
        <v>39</v>
      </c>
      <c r="B32">
        <v>5.8340225368738166E-3</v>
      </c>
      <c r="C32">
        <v>1.340043731033802E-2</v>
      </c>
    </row>
    <row r="33" spans="1:3" x14ac:dyDescent="0.25">
      <c r="A33" t="s">
        <v>59</v>
      </c>
      <c r="B33">
        <v>5.855268333107233E-3</v>
      </c>
      <c r="C33">
        <v>1.085011567920446E-2</v>
      </c>
    </row>
    <row r="34" spans="1:3" x14ac:dyDescent="0.25">
      <c r="A34" t="s">
        <v>26</v>
      </c>
      <c r="B34">
        <v>3.7098042666912079E-3</v>
      </c>
    </row>
    <row r="35" spans="1:3" x14ac:dyDescent="0.25">
      <c r="A35" t="s">
        <v>165</v>
      </c>
      <c r="B35">
        <v>5.1648681983351707E-3</v>
      </c>
      <c r="C35">
        <v>1.1519216932356359E-2</v>
      </c>
    </row>
    <row r="36" spans="1:3" x14ac:dyDescent="0.25">
      <c r="A36" t="s">
        <v>409</v>
      </c>
      <c r="B36">
        <v>2.4121829774230719E-3</v>
      </c>
      <c r="C36">
        <v>6.2029752880334854E-3</v>
      </c>
    </row>
    <row r="37" spans="1:3" x14ac:dyDescent="0.25">
      <c r="A37" t="s">
        <v>412</v>
      </c>
      <c r="B37">
        <v>3.0974233523011212E-3</v>
      </c>
      <c r="C37">
        <v>8.012823760509491E-3</v>
      </c>
    </row>
    <row r="38" spans="1:3" x14ac:dyDescent="0.25">
      <c r="A38" t="s">
        <v>428</v>
      </c>
      <c r="B38">
        <v>2.478969469666481E-2</v>
      </c>
    </row>
    <row r="39" spans="1:3" x14ac:dyDescent="0.25">
      <c r="A39" t="s">
        <v>429</v>
      </c>
      <c r="B39">
        <v>1.8531244248151779E-2</v>
      </c>
    </row>
    <row r="40" spans="1:3" x14ac:dyDescent="0.25">
      <c r="A40" t="s">
        <v>248</v>
      </c>
      <c r="B40">
        <v>0</v>
      </c>
    </row>
    <row r="41" spans="1:3" x14ac:dyDescent="0.25">
      <c r="A41" t="s">
        <v>172</v>
      </c>
      <c r="B41">
        <v>8.4715010598301888E-3</v>
      </c>
      <c r="C41">
        <v>2.464841865003109E-2</v>
      </c>
    </row>
    <row r="42" spans="1:3" x14ac:dyDescent="0.25">
      <c r="A42" t="s">
        <v>227</v>
      </c>
      <c r="B42">
        <v>9.1923931613564491E-3</v>
      </c>
      <c r="C42">
        <v>4.3243009597063058E-2</v>
      </c>
    </row>
    <row r="43" spans="1:3" x14ac:dyDescent="0.25">
      <c r="A43" t="s">
        <v>200</v>
      </c>
      <c r="B43">
        <v>6.8448320962488651E-3</v>
      </c>
    </row>
    <row r="44" spans="1:3" x14ac:dyDescent="0.25">
      <c r="A44" t="s">
        <v>274</v>
      </c>
      <c r="B44">
        <v>7.9168202355504036E-3</v>
      </c>
      <c r="C44">
        <v>1.5204020775854589E-2</v>
      </c>
    </row>
    <row r="45" spans="1:3" x14ac:dyDescent="0.25">
      <c r="A45" t="s">
        <v>251</v>
      </c>
      <c r="B45">
        <v>0</v>
      </c>
    </row>
    <row r="46" spans="1:3" x14ac:dyDescent="0.25">
      <c r="A46" t="s">
        <v>176</v>
      </c>
      <c r="B46">
        <v>3.6081662401556969E-3</v>
      </c>
      <c r="C46">
        <v>6.7038028500974178E-3</v>
      </c>
    </row>
    <row r="47" spans="1:3" x14ac:dyDescent="0.25">
      <c r="A47" t="s">
        <v>229</v>
      </c>
      <c r="B47">
        <v>3.0641919001936908E-3</v>
      </c>
    </row>
    <row r="48" spans="1:3" x14ac:dyDescent="0.25">
      <c r="A48" t="s">
        <v>203</v>
      </c>
      <c r="B48">
        <v>3.19883762858808E-3</v>
      </c>
    </row>
    <row r="49" spans="1:3" x14ac:dyDescent="0.25">
      <c r="A49" t="s">
        <v>253</v>
      </c>
      <c r="B49">
        <v>0</v>
      </c>
    </row>
    <row r="50" spans="1:3" x14ac:dyDescent="0.25">
      <c r="A50" t="s">
        <v>179</v>
      </c>
      <c r="B50">
        <v>5.9932619333267212E-3</v>
      </c>
      <c r="C50">
        <v>1.236929185688496E-2</v>
      </c>
    </row>
    <row r="51" spans="1:3" x14ac:dyDescent="0.25">
      <c r="A51" t="s">
        <v>232</v>
      </c>
      <c r="B51">
        <v>2.7596966829150919E-3</v>
      </c>
    </row>
    <row r="52" spans="1:3" x14ac:dyDescent="0.25">
      <c r="A52" t="s">
        <v>206</v>
      </c>
      <c r="B52">
        <v>5.5977967567741871E-3</v>
      </c>
    </row>
    <row r="53" spans="1:3" x14ac:dyDescent="0.25">
      <c r="A53" t="s">
        <v>256</v>
      </c>
      <c r="B53">
        <v>0</v>
      </c>
    </row>
    <row r="54" spans="1:3" x14ac:dyDescent="0.25">
      <c r="A54" t="s">
        <v>182</v>
      </c>
      <c r="B54">
        <v>1.3751768507063391E-2</v>
      </c>
      <c r="C54">
        <v>3.1808461993932717E-2</v>
      </c>
    </row>
    <row r="55" spans="1:3" x14ac:dyDescent="0.25">
      <c r="A55" t="s">
        <v>234</v>
      </c>
      <c r="B55">
        <v>1.2268645688891411E-2</v>
      </c>
    </row>
    <row r="56" spans="1:3" x14ac:dyDescent="0.25">
      <c r="A56" t="s">
        <v>209</v>
      </c>
      <c r="B56">
        <v>1.280592288821936E-2</v>
      </c>
    </row>
    <row r="57" spans="1:3" x14ac:dyDescent="0.25">
      <c r="A57" t="s">
        <v>430</v>
      </c>
      <c r="B57">
        <v>1.7965750768780708E-2</v>
      </c>
    </row>
    <row r="58" spans="1:3" x14ac:dyDescent="0.25">
      <c r="A58" t="s">
        <v>425</v>
      </c>
      <c r="B58">
        <v>7.8131929039955139E-3</v>
      </c>
    </row>
    <row r="59" spans="1:3" x14ac:dyDescent="0.25">
      <c r="A59" t="s">
        <v>280</v>
      </c>
      <c r="B59">
        <v>8.7824873626232147E-3</v>
      </c>
    </row>
    <row r="60" spans="1:3" x14ac:dyDescent="0.25">
      <c r="A60" t="s">
        <v>277</v>
      </c>
      <c r="B60">
        <v>2.0648004487156871E-2</v>
      </c>
      <c r="C60">
        <v>4.1403960436582572E-2</v>
      </c>
    </row>
    <row r="61" spans="1:3" x14ac:dyDescent="0.25">
      <c r="A61" t="s">
        <v>258</v>
      </c>
      <c r="B61">
        <v>7.8261233866214752E-3</v>
      </c>
    </row>
    <row r="62" spans="1:3" x14ac:dyDescent="0.25">
      <c r="A62" t="s">
        <v>261</v>
      </c>
      <c r="B62">
        <v>0</v>
      </c>
    </row>
    <row r="63" spans="1:3" x14ac:dyDescent="0.25">
      <c r="A63" t="s">
        <v>188</v>
      </c>
      <c r="B63">
        <v>2.6777107268571849E-3</v>
      </c>
      <c r="C63">
        <v>1.6651004552841191E-3</v>
      </c>
    </row>
    <row r="64" spans="1:3" x14ac:dyDescent="0.25">
      <c r="A64" t="s">
        <v>238</v>
      </c>
      <c r="B64">
        <v>4.7170676407404239E-4</v>
      </c>
    </row>
    <row r="65" spans="1:3" x14ac:dyDescent="0.25">
      <c r="A65" t="s">
        <v>215</v>
      </c>
      <c r="B65">
        <v>0</v>
      </c>
    </row>
    <row r="66" spans="1:3" x14ac:dyDescent="0.25">
      <c r="A66" t="s">
        <v>185</v>
      </c>
      <c r="B66">
        <v>5.2414450328797102E-4</v>
      </c>
      <c r="C66">
        <v>7.8372899442911148E-3</v>
      </c>
    </row>
    <row r="67" spans="1:3" x14ac:dyDescent="0.25">
      <c r="A67" t="s">
        <v>236</v>
      </c>
      <c r="B67">
        <v>6.6345056984573603E-4</v>
      </c>
      <c r="C67">
        <v>2.9013212770223622E-3</v>
      </c>
    </row>
    <row r="68" spans="1:3" x14ac:dyDescent="0.25">
      <c r="A68" t="s">
        <v>212</v>
      </c>
      <c r="B68">
        <v>1.770946983015165E-4</v>
      </c>
    </row>
    <row r="69" spans="1:3" x14ac:dyDescent="0.25">
      <c r="A69" t="s">
        <v>264</v>
      </c>
      <c r="B69">
        <v>1.244250888703391E-4</v>
      </c>
    </row>
    <row r="70" spans="1:3" x14ac:dyDescent="0.25">
      <c r="A70" t="s">
        <v>191</v>
      </c>
      <c r="B70">
        <v>3.9846594445407391E-3</v>
      </c>
      <c r="C70">
        <v>1.072867680341005E-2</v>
      </c>
    </row>
    <row r="71" spans="1:3" x14ac:dyDescent="0.25">
      <c r="A71" t="s">
        <v>240</v>
      </c>
      <c r="B71">
        <v>5.029450636357069E-3</v>
      </c>
      <c r="C71">
        <v>1.0247158817946911E-2</v>
      </c>
    </row>
    <row r="72" spans="1:3" x14ac:dyDescent="0.25">
      <c r="A72" t="s">
        <v>218</v>
      </c>
      <c r="B72">
        <v>4.3154861778020859E-3</v>
      </c>
    </row>
    <row r="73" spans="1:3" x14ac:dyDescent="0.25">
      <c r="A73" t="s">
        <v>267</v>
      </c>
      <c r="B73">
        <v>0</v>
      </c>
    </row>
    <row r="74" spans="1:3" x14ac:dyDescent="0.25">
      <c r="A74" t="s">
        <v>194</v>
      </c>
      <c r="B74">
        <v>3.289029467850924E-3</v>
      </c>
      <c r="C74">
        <v>4.3874979019165039E-3</v>
      </c>
    </row>
    <row r="75" spans="1:3" x14ac:dyDescent="0.25">
      <c r="A75" t="s">
        <v>242</v>
      </c>
      <c r="B75">
        <v>1.8623570213094349E-3</v>
      </c>
    </row>
    <row r="76" spans="1:3" x14ac:dyDescent="0.25">
      <c r="A76" t="s">
        <v>221</v>
      </c>
      <c r="B76">
        <v>5.3186826407909393E-3</v>
      </c>
    </row>
    <row r="77" spans="1:3" x14ac:dyDescent="0.25">
      <c r="A77" t="s">
        <v>269</v>
      </c>
      <c r="B77">
        <v>0</v>
      </c>
    </row>
    <row r="78" spans="1:3" x14ac:dyDescent="0.25">
      <c r="A78" t="s">
        <v>197</v>
      </c>
      <c r="B78">
        <v>1.174824545159936E-3</v>
      </c>
    </row>
    <row r="79" spans="1:3" x14ac:dyDescent="0.25">
      <c r="A79" t="s">
        <v>245</v>
      </c>
      <c r="B79">
        <v>0</v>
      </c>
    </row>
    <row r="80" spans="1:3" x14ac:dyDescent="0.25">
      <c r="A80" t="s">
        <v>224</v>
      </c>
      <c r="B80">
        <v>1.3021737104281781E-3</v>
      </c>
    </row>
    <row r="81" spans="1:3" x14ac:dyDescent="0.25">
      <c r="A81" t="s">
        <v>271</v>
      </c>
      <c r="B81">
        <v>2.345084585249424E-2</v>
      </c>
    </row>
    <row r="82" spans="1:3" x14ac:dyDescent="0.25">
      <c r="A82" t="s">
        <v>169</v>
      </c>
      <c r="B82">
        <v>5.0856559537351131E-3</v>
      </c>
    </row>
    <row r="83" spans="1:3" x14ac:dyDescent="0.25">
      <c r="A83" t="s">
        <v>34</v>
      </c>
      <c r="B83">
        <v>4.8422561958432198E-3</v>
      </c>
      <c r="C83">
        <v>1.088807918131351E-2</v>
      </c>
    </row>
    <row r="84" spans="1:3" x14ac:dyDescent="0.25">
      <c r="A84" t="s">
        <v>23</v>
      </c>
      <c r="B84">
        <v>6.2827253714203826E-3</v>
      </c>
      <c r="C84">
        <v>1.6868779435753819E-2</v>
      </c>
    </row>
    <row r="85" spans="1:3" x14ac:dyDescent="0.25">
      <c r="A85" t="s">
        <v>42</v>
      </c>
      <c r="B85">
        <v>4.7036311589181423E-3</v>
      </c>
    </row>
    <row r="86" spans="1:3" x14ac:dyDescent="0.25">
      <c r="A86" t="s">
        <v>17</v>
      </c>
      <c r="B86">
        <v>6.3109807670116416E-3</v>
      </c>
      <c r="C86">
        <v>0.18186002969741821</v>
      </c>
    </row>
  </sheetData>
  <conditionalFormatting sqref="B1:B1048576">
    <cfRule type="top10" dxfId="1" priority="2" percent="1" rank="30"/>
  </conditionalFormatting>
  <conditionalFormatting sqref="C1:C1048576">
    <cfRule type="top10" dxfId="0" priority="1" percent="1" rank="3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DCE6C-A813-42A5-978E-A9DB580B83D1}">
  <dimension ref="A1:D86"/>
  <sheetViews>
    <sheetView workbookViewId="0">
      <selection activeCell="J33" sqref="J33"/>
    </sheetView>
  </sheetViews>
  <sheetFormatPr defaultRowHeight="15" x14ac:dyDescent="0.25"/>
  <cols>
    <col min="1" max="1" width="47.85546875" bestFit="1" customWidth="1"/>
    <col min="2" max="3" width="14" bestFit="1" customWidth="1"/>
    <col min="4" max="4" width="14.85546875" bestFit="1" customWidth="1"/>
  </cols>
  <sheetData>
    <row r="1" spans="1:4" x14ac:dyDescent="0.25">
      <c r="A1" t="s">
        <v>439</v>
      </c>
      <c r="B1" t="s">
        <v>440</v>
      </c>
      <c r="C1" t="s">
        <v>441</v>
      </c>
      <c r="D1" t="s">
        <v>442</v>
      </c>
    </row>
    <row r="2" spans="1:4" x14ac:dyDescent="0.25">
      <c r="A2" t="s">
        <v>209</v>
      </c>
      <c r="B2">
        <v>5.9156425729434602E-2</v>
      </c>
      <c r="C2">
        <v>3.0770287760959799E-2</v>
      </c>
      <c r="D2">
        <v>1.3193911267121601</v>
      </c>
    </row>
    <row r="3" spans="1:4" x14ac:dyDescent="0.25">
      <c r="A3" t="s">
        <v>182</v>
      </c>
      <c r="B3">
        <v>5.8638024783660002E-2</v>
      </c>
      <c r="C3">
        <v>3.06446632908513E-2</v>
      </c>
      <c r="D3">
        <v>1.31739202823502</v>
      </c>
    </row>
    <row r="4" spans="1:4" x14ac:dyDescent="0.25">
      <c r="A4" t="s">
        <v>234</v>
      </c>
      <c r="B4">
        <v>6.0489573701936201E-2</v>
      </c>
      <c r="C4">
        <v>2.9837383175181999E-2</v>
      </c>
      <c r="D4">
        <v>1.31488423433361</v>
      </c>
    </row>
    <row r="5" spans="1:4" x14ac:dyDescent="0.25">
      <c r="A5" t="s">
        <v>256</v>
      </c>
      <c r="B5">
        <v>5.9958137114059298E-2</v>
      </c>
      <c r="C5">
        <v>2.96791346954846E-2</v>
      </c>
      <c r="D5">
        <v>1.31430130389445</v>
      </c>
    </row>
    <row r="6" spans="1:4" x14ac:dyDescent="0.25">
      <c r="A6" t="s">
        <v>232</v>
      </c>
      <c r="B6">
        <v>9.2395519791343195E-2</v>
      </c>
      <c r="C6">
        <v>6.5219067087468302E-2</v>
      </c>
      <c r="D6">
        <v>1.19668272023813</v>
      </c>
    </row>
    <row r="7" spans="1:4" x14ac:dyDescent="0.25">
      <c r="A7" t="s">
        <v>253</v>
      </c>
      <c r="B7">
        <v>9.2372522774533297E-2</v>
      </c>
      <c r="C7">
        <v>6.5080475520966005E-2</v>
      </c>
      <c r="D7">
        <v>1.19657421404019</v>
      </c>
    </row>
    <row r="8" spans="1:4" x14ac:dyDescent="0.25">
      <c r="A8" t="s">
        <v>206</v>
      </c>
      <c r="B8">
        <v>9.8210088365513606E-2</v>
      </c>
      <c r="C8">
        <v>7.3309583384341098E-2</v>
      </c>
      <c r="D8">
        <v>1.18583836198853</v>
      </c>
    </row>
    <row r="9" spans="1:4" x14ac:dyDescent="0.25">
      <c r="A9" t="s">
        <v>179</v>
      </c>
      <c r="B9">
        <v>9.8067147326328402E-2</v>
      </c>
      <c r="C9">
        <v>7.3089902547908703E-2</v>
      </c>
      <c r="D9">
        <v>1.18530397915077</v>
      </c>
    </row>
    <row r="10" spans="1:4" x14ac:dyDescent="0.25">
      <c r="A10" t="s">
        <v>269</v>
      </c>
      <c r="B10">
        <v>3.18889456862421E-2</v>
      </c>
      <c r="C10">
        <v>4.9044157842827599E-3</v>
      </c>
      <c r="D10">
        <v>1.15166307654053</v>
      </c>
    </row>
    <row r="11" spans="1:4" x14ac:dyDescent="0.25">
      <c r="A11" t="s">
        <v>245</v>
      </c>
      <c r="B11">
        <v>3.19639641633487E-2</v>
      </c>
      <c r="C11">
        <v>4.7357458160270701E-3</v>
      </c>
      <c r="D11">
        <v>1.15043724379547</v>
      </c>
    </row>
    <row r="12" spans="1:4" x14ac:dyDescent="0.25">
      <c r="A12" t="s">
        <v>197</v>
      </c>
      <c r="B12">
        <v>3.2423414296286E-2</v>
      </c>
      <c r="C12">
        <v>6.6882759725689304E-3</v>
      </c>
      <c r="D12">
        <v>1.1499924838373301</v>
      </c>
    </row>
    <row r="13" spans="1:4" x14ac:dyDescent="0.25">
      <c r="A13" t="s">
        <v>224</v>
      </c>
      <c r="B13">
        <v>3.2515340247873302E-2</v>
      </c>
      <c r="C13">
        <v>6.2080508996558799E-3</v>
      </c>
      <c r="D13">
        <v>1.1482925716361401</v>
      </c>
    </row>
    <row r="14" spans="1:4" x14ac:dyDescent="0.25">
      <c r="A14" t="s">
        <v>267</v>
      </c>
      <c r="B14">
        <v>3.91861470952235E-2</v>
      </c>
      <c r="C14">
        <v>1.2681310277334001E-2</v>
      </c>
      <c r="D14">
        <v>1.02838422439767</v>
      </c>
    </row>
    <row r="15" spans="1:4" x14ac:dyDescent="0.25">
      <c r="A15" t="s">
        <v>242</v>
      </c>
      <c r="B15">
        <v>3.9865737073423599E-2</v>
      </c>
      <c r="C15">
        <v>1.15590159880913E-2</v>
      </c>
      <c r="D15">
        <v>1.0269303724688701</v>
      </c>
    </row>
    <row r="16" spans="1:4" x14ac:dyDescent="0.25">
      <c r="A16" t="s">
        <v>221</v>
      </c>
      <c r="B16">
        <v>4.1580896639386702E-2</v>
      </c>
      <c r="C16">
        <v>6.7422677654262603E-3</v>
      </c>
      <c r="D16">
        <v>1.0216227631582</v>
      </c>
    </row>
    <row r="17" spans="1:4" x14ac:dyDescent="0.25">
      <c r="A17" t="s">
        <v>194</v>
      </c>
      <c r="B17">
        <v>4.0893322856695197E-2</v>
      </c>
      <c r="C17">
        <v>7.7848127694560097E-3</v>
      </c>
      <c r="D17">
        <v>1.0186985571311999</v>
      </c>
    </row>
    <row r="18" spans="1:4" x14ac:dyDescent="0.25">
      <c r="A18" t="s">
        <v>49</v>
      </c>
      <c r="B18">
        <v>0.13451811136000999</v>
      </c>
      <c r="C18">
        <v>2.3541412408224801E-3</v>
      </c>
      <c r="D18">
        <v>0.99208850190283004</v>
      </c>
    </row>
    <row r="19" spans="1:4" x14ac:dyDescent="0.25">
      <c r="A19" t="s">
        <v>55</v>
      </c>
      <c r="B19">
        <v>0.13163926580997701</v>
      </c>
      <c r="C19">
        <v>4.2095403546621897E-3</v>
      </c>
      <c r="D19">
        <v>0.98809382635691501</v>
      </c>
    </row>
    <row r="20" spans="1:4" x14ac:dyDescent="0.25">
      <c r="A20" t="s">
        <v>215</v>
      </c>
      <c r="B20">
        <v>0.11345396618822</v>
      </c>
      <c r="C20">
        <v>8.8690226320218696E-2</v>
      </c>
      <c r="D20">
        <v>0.96022057013496898</v>
      </c>
    </row>
    <row r="21" spans="1:4" x14ac:dyDescent="0.25">
      <c r="A21" t="s">
        <v>188</v>
      </c>
      <c r="B21">
        <v>0.113829027762887</v>
      </c>
      <c r="C21">
        <v>8.9105325746622194E-2</v>
      </c>
      <c r="D21">
        <v>0.95991198756844298</v>
      </c>
    </row>
    <row r="22" spans="1:4" x14ac:dyDescent="0.25">
      <c r="A22" t="s">
        <v>251</v>
      </c>
      <c r="B22">
        <v>8.8540721634696104E-2</v>
      </c>
      <c r="C22">
        <v>3.9950971164868503E-2</v>
      </c>
      <c r="D22">
        <v>0.93887146469978</v>
      </c>
    </row>
    <row r="23" spans="1:4" x14ac:dyDescent="0.25">
      <c r="A23" t="s">
        <v>229</v>
      </c>
      <c r="B23">
        <v>8.8891557449207098E-2</v>
      </c>
      <c r="C23">
        <v>4.0406147122886801E-2</v>
      </c>
      <c r="D23">
        <v>0.93792665868381797</v>
      </c>
    </row>
    <row r="24" spans="1:4" x14ac:dyDescent="0.25">
      <c r="A24" t="s">
        <v>203</v>
      </c>
      <c r="B24">
        <v>9.3002993040701407E-2</v>
      </c>
      <c r="C24">
        <v>4.7314579602349298E-2</v>
      </c>
      <c r="D24">
        <v>0.92959478962115905</v>
      </c>
    </row>
    <row r="25" spans="1:4" x14ac:dyDescent="0.25">
      <c r="A25" t="s">
        <v>176</v>
      </c>
      <c r="B25">
        <v>9.2241206713125995E-2</v>
      </c>
      <c r="C25">
        <v>4.6796009962568601E-2</v>
      </c>
      <c r="D25">
        <v>0.92786072825468302</v>
      </c>
    </row>
    <row r="26" spans="1:4" x14ac:dyDescent="0.25">
      <c r="A26" t="s">
        <v>28</v>
      </c>
      <c r="B26">
        <v>9.4090167548213893E-2</v>
      </c>
      <c r="C26">
        <v>6.0487013031263696E-3</v>
      </c>
      <c r="D26">
        <v>0.87903380688475596</v>
      </c>
    </row>
    <row r="27" spans="1:4" x14ac:dyDescent="0.25">
      <c r="A27" t="s">
        <v>212</v>
      </c>
      <c r="B27">
        <v>0.13629037498952801</v>
      </c>
      <c r="C27">
        <v>9.2046014323386993E-2</v>
      </c>
      <c r="D27">
        <v>0.86620883219163403</v>
      </c>
    </row>
    <row r="28" spans="1:4" x14ac:dyDescent="0.25">
      <c r="A28" t="s">
        <v>185</v>
      </c>
      <c r="B28">
        <v>0.136596940680487</v>
      </c>
      <c r="C28">
        <v>9.2248648463238103E-2</v>
      </c>
      <c r="D28">
        <v>0.86416664086530304</v>
      </c>
    </row>
    <row r="29" spans="1:4" x14ac:dyDescent="0.25">
      <c r="A29" t="s">
        <v>52</v>
      </c>
      <c r="B29">
        <v>5.3068315909933203E-2</v>
      </c>
      <c r="C29">
        <v>9.6174501230585196E-3</v>
      </c>
      <c r="D29">
        <v>0.86361446521720997</v>
      </c>
    </row>
    <row r="30" spans="1:4" x14ac:dyDescent="0.25">
      <c r="A30" t="s">
        <v>61</v>
      </c>
      <c r="B30">
        <v>7.7425195936606003E-2</v>
      </c>
      <c r="C30">
        <v>4.4189027846619197E-2</v>
      </c>
      <c r="D30">
        <v>0.86099280873315598</v>
      </c>
    </row>
    <row r="31" spans="1:4" x14ac:dyDescent="0.25">
      <c r="A31" t="s">
        <v>274</v>
      </c>
      <c r="B31">
        <v>0.15882464948198</v>
      </c>
      <c r="C31">
        <v>7.4014016887004902E-2</v>
      </c>
      <c r="D31">
        <v>0.86053557833719596</v>
      </c>
    </row>
    <row r="32" spans="1:4" x14ac:dyDescent="0.25">
      <c r="A32" t="s">
        <v>20</v>
      </c>
      <c r="B32">
        <v>5.9034288760090703E-2</v>
      </c>
      <c r="C32">
        <v>1.8144729017360601E-2</v>
      </c>
      <c r="D32">
        <v>0.85065183422202995</v>
      </c>
    </row>
    <row r="33" spans="1:4" x14ac:dyDescent="0.25">
      <c r="A33" t="s">
        <v>66</v>
      </c>
      <c r="B33">
        <v>8.6164031934892402E-2</v>
      </c>
      <c r="C33">
        <v>4.3664483375257003E-2</v>
      </c>
      <c r="D33">
        <v>0.84251783945315495</v>
      </c>
    </row>
    <row r="34" spans="1:4" x14ac:dyDescent="0.25">
      <c r="A34" t="s">
        <v>45</v>
      </c>
      <c r="B34">
        <v>0.14603734776354599</v>
      </c>
      <c r="C34">
        <v>1.44354823155617E-2</v>
      </c>
      <c r="D34">
        <v>0.83538097229896102</v>
      </c>
    </row>
    <row r="35" spans="1:4" x14ac:dyDescent="0.25">
      <c r="A35" t="s">
        <v>172</v>
      </c>
      <c r="B35">
        <v>0.15796060023231601</v>
      </c>
      <c r="C35">
        <v>9.5659931887774302E-2</v>
      </c>
      <c r="D35">
        <v>0.81225564050130605</v>
      </c>
    </row>
    <row r="36" spans="1:4" x14ac:dyDescent="0.25">
      <c r="A36" t="s">
        <v>429</v>
      </c>
      <c r="B36">
        <v>0.17391681094143999</v>
      </c>
      <c r="C36">
        <v>0.113396186304813</v>
      </c>
      <c r="D36">
        <v>0.81084396509731005</v>
      </c>
    </row>
    <row r="37" spans="1:4" x14ac:dyDescent="0.25">
      <c r="A37" t="s">
        <v>200</v>
      </c>
      <c r="B37">
        <v>0.157936645063775</v>
      </c>
      <c r="C37">
        <v>9.6160595544779598E-2</v>
      </c>
      <c r="D37">
        <v>0.80931466394062601</v>
      </c>
    </row>
    <row r="38" spans="1:4" x14ac:dyDescent="0.25">
      <c r="A38" t="s">
        <v>428</v>
      </c>
      <c r="B38">
        <v>0.174295878213207</v>
      </c>
      <c r="C38">
        <v>0.113192947991298</v>
      </c>
      <c r="D38">
        <v>0.80540183040487801</v>
      </c>
    </row>
    <row r="39" spans="1:4" x14ac:dyDescent="0.25">
      <c r="A39" t="s">
        <v>240</v>
      </c>
      <c r="B39">
        <v>0.120456548008555</v>
      </c>
      <c r="C39">
        <v>2.93077167700832E-2</v>
      </c>
      <c r="D39">
        <v>0.77859770252299598</v>
      </c>
    </row>
    <row r="40" spans="1:4" x14ac:dyDescent="0.25">
      <c r="A40" t="s">
        <v>264</v>
      </c>
      <c r="B40">
        <v>0.120116527981475</v>
      </c>
      <c r="C40">
        <v>2.79915731649929E-2</v>
      </c>
      <c r="D40">
        <v>0.77467156048520602</v>
      </c>
    </row>
    <row r="41" spans="1:4" x14ac:dyDescent="0.25">
      <c r="A41" t="s">
        <v>227</v>
      </c>
      <c r="B41">
        <v>0.124260723242929</v>
      </c>
      <c r="C41">
        <v>1.5572540344993301E-2</v>
      </c>
      <c r="D41">
        <v>0.77114999469349199</v>
      </c>
    </row>
    <row r="42" spans="1:4" x14ac:dyDescent="0.25">
      <c r="A42" t="s">
        <v>248</v>
      </c>
      <c r="B42">
        <v>0.123453940695887</v>
      </c>
      <c r="C42">
        <v>1.43868696809119E-2</v>
      </c>
      <c r="D42">
        <v>0.76813811140703403</v>
      </c>
    </row>
    <row r="43" spans="1:4" x14ac:dyDescent="0.25">
      <c r="A43" t="s">
        <v>23</v>
      </c>
      <c r="B43">
        <v>7.4301886836919698E-2</v>
      </c>
      <c r="C43">
        <v>2.0793979977168801E-2</v>
      </c>
      <c r="D43">
        <v>0.76198554919057104</v>
      </c>
    </row>
    <row r="44" spans="1:4" x14ac:dyDescent="0.25">
      <c r="A44" t="s">
        <v>31</v>
      </c>
      <c r="B44">
        <v>0.152897938388418</v>
      </c>
      <c r="C44">
        <v>0.129666723705087</v>
      </c>
      <c r="D44">
        <v>0.75719866938648905</v>
      </c>
    </row>
    <row r="45" spans="1:4" x14ac:dyDescent="0.25">
      <c r="A45" t="s">
        <v>17</v>
      </c>
      <c r="B45">
        <v>0.15310804140114601</v>
      </c>
      <c r="C45">
        <v>0.130066948652999</v>
      </c>
      <c r="D45">
        <v>0.75482570593137599</v>
      </c>
    </row>
    <row r="46" spans="1:4" x14ac:dyDescent="0.25">
      <c r="A46" t="s">
        <v>238</v>
      </c>
      <c r="B46">
        <v>0.12858089789635399</v>
      </c>
      <c r="C46">
        <v>9.7418015894909005E-2</v>
      </c>
      <c r="D46">
        <v>0.752996317257426</v>
      </c>
    </row>
    <row r="47" spans="1:4" x14ac:dyDescent="0.25">
      <c r="A47" t="s">
        <v>261</v>
      </c>
      <c r="B47">
        <v>0.128016804466729</v>
      </c>
      <c r="C47">
        <v>9.7066809732515594E-2</v>
      </c>
      <c r="D47">
        <v>0.74423890077458499</v>
      </c>
    </row>
    <row r="48" spans="1:4" x14ac:dyDescent="0.25">
      <c r="A48" t="s">
        <v>69</v>
      </c>
      <c r="B48">
        <v>0.16114534234594999</v>
      </c>
      <c r="C48">
        <v>2.6309351141887202E-2</v>
      </c>
      <c r="D48">
        <v>0.65444881195272198</v>
      </c>
    </row>
    <row r="49" spans="1:4" x14ac:dyDescent="0.25">
      <c r="A49" t="s">
        <v>425</v>
      </c>
      <c r="B49">
        <v>0.16813753664446299</v>
      </c>
      <c r="C49">
        <v>9.9237015695569294E-2</v>
      </c>
      <c r="D49">
        <v>0.65417973583807298</v>
      </c>
    </row>
    <row r="50" spans="1:4" x14ac:dyDescent="0.25">
      <c r="A50" t="s">
        <v>430</v>
      </c>
      <c r="B50">
        <v>0.167840322897296</v>
      </c>
      <c r="C50">
        <v>9.9169818100849502E-2</v>
      </c>
      <c r="D50">
        <v>0.65396242653965597</v>
      </c>
    </row>
    <row r="51" spans="1:4" x14ac:dyDescent="0.25">
      <c r="A51" t="s">
        <v>39</v>
      </c>
      <c r="B51">
        <v>9.8952998868584996E-2</v>
      </c>
      <c r="C51">
        <v>5.8519022840600203E-3</v>
      </c>
      <c r="D51">
        <v>0.62498563479784097</v>
      </c>
    </row>
    <row r="52" spans="1:4" x14ac:dyDescent="0.25">
      <c r="A52" t="s">
        <v>314</v>
      </c>
      <c r="B52">
        <v>0.122044131687033</v>
      </c>
      <c r="C52">
        <v>0.169686524000672</v>
      </c>
      <c r="D52">
        <v>0.61426108058872697</v>
      </c>
    </row>
    <row r="53" spans="1:4" x14ac:dyDescent="0.25">
      <c r="A53" t="s">
        <v>280</v>
      </c>
      <c r="B53">
        <v>0.178185957360633</v>
      </c>
      <c r="C53">
        <v>9.6404866407007503E-2</v>
      </c>
      <c r="D53">
        <v>0.60191070413390202</v>
      </c>
    </row>
    <row r="54" spans="1:4" x14ac:dyDescent="0.25">
      <c r="A54" t="s">
        <v>277</v>
      </c>
      <c r="B54">
        <v>0.17846739439959999</v>
      </c>
      <c r="C54">
        <v>9.5925301709090999E-2</v>
      </c>
      <c r="D54">
        <v>0.60164270506477202</v>
      </c>
    </row>
    <row r="55" spans="1:4" x14ac:dyDescent="0.25">
      <c r="A55" t="s">
        <v>59</v>
      </c>
      <c r="B55">
        <v>6.7514615504544198E-2</v>
      </c>
      <c r="C55">
        <v>5.2589949339787799E-2</v>
      </c>
      <c r="D55">
        <v>0.601364732030229</v>
      </c>
    </row>
    <row r="56" spans="1:4" x14ac:dyDescent="0.25">
      <c r="A56" t="s">
        <v>191</v>
      </c>
      <c r="B56">
        <v>0.16291166585658701</v>
      </c>
      <c r="C56">
        <v>8.9365040791892406E-2</v>
      </c>
      <c r="D56">
        <v>0.59554563567472896</v>
      </c>
    </row>
    <row r="57" spans="1:4" x14ac:dyDescent="0.25">
      <c r="A57" t="s">
        <v>323</v>
      </c>
      <c r="B57">
        <v>9.2469388763877794E-2</v>
      </c>
      <c r="C57">
        <v>3.69254035798161E-2</v>
      </c>
      <c r="D57">
        <v>0.59385136739865896</v>
      </c>
    </row>
    <row r="58" spans="1:4" x14ac:dyDescent="0.25">
      <c r="A58" t="s">
        <v>218</v>
      </c>
      <c r="B58">
        <v>0.16274319501072501</v>
      </c>
      <c r="C58">
        <v>8.9791223085777902E-2</v>
      </c>
      <c r="D58">
        <v>0.59258505619174795</v>
      </c>
    </row>
    <row r="59" spans="1:4" x14ac:dyDescent="0.25">
      <c r="A59" t="s">
        <v>42</v>
      </c>
      <c r="B59">
        <v>8.7731507860381697E-2</v>
      </c>
      <c r="C59">
        <v>1.58303327527689E-3</v>
      </c>
      <c r="D59">
        <v>0.58185878056408602</v>
      </c>
    </row>
    <row r="60" spans="1:4" x14ac:dyDescent="0.25">
      <c r="A60" t="s">
        <v>63</v>
      </c>
      <c r="B60">
        <v>0.164065952708422</v>
      </c>
      <c r="C60">
        <v>2.13077955921613E-2</v>
      </c>
      <c r="D60">
        <v>0.56753032043302798</v>
      </c>
    </row>
    <row r="61" spans="1:4" x14ac:dyDescent="0.25">
      <c r="A61" t="s">
        <v>431</v>
      </c>
      <c r="B61">
        <v>0.106079099870625</v>
      </c>
      <c r="C61">
        <v>0.22437892917751801</v>
      </c>
      <c r="D61">
        <v>0.56577233994294396</v>
      </c>
    </row>
    <row r="62" spans="1:4" x14ac:dyDescent="0.25">
      <c r="A62" t="s">
        <v>271</v>
      </c>
      <c r="B62">
        <v>0.19334861594144701</v>
      </c>
      <c r="C62">
        <v>0.116222119916051</v>
      </c>
      <c r="D62">
        <v>0.56416619151780201</v>
      </c>
    </row>
    <row r="63" spans="1:4" x14ac:dyDescent="0.25">
      <c r="A63" t="s">
        <v>320</v>
      </c>
      <c r="B63">
        <v>7.1083775691817896E-2</v>
      </c>
      <c r="C63">
        <v>0.241998226328556</v>
      </c>
      <c r="D63">
        <v>0.55398136104351903</v>
      </c>
    </row>
    <row r="64" spans="1:4" x14ac:dyDescent="0.25">
      <c r="A64" t="s">
        <v>317</v>
      </c>
      <c r="B64">
        <v>0.111776625597896</v>
      </c>
      <c r="C64">
        <v>0.23110631162353601</v>
      </c>
      <c r="D64">
        <v>0.55021201379752704</v>
      </c>
    </row>
    <row r="65" spans="1:4" x14ac:dyDescent="0.25">
      <c r="A65" t="s">
        <v>258</v>
      </c>
      <c r="B65">
        <v>0.11704613618701901</v>
      </c>
      <c r="C65">
        <v>6.7412026706642494E-2</v>
      </c>
      <c r="D65">
        <v>0.54527843603467196</v>
      </c>
    </row>
    <row r="66" spans="1:4" x14ac:dyDescent="0.25">
      <c r="A66" t="s">
        <v>296</v>
      </c>
      <c r="B66">
        <v>9.5295481314437297E-2</v>
      </c>
      <c r="C66">
        <v>0.24283375215337599</v>
      </c>
      <c r="D66">
        <v>0.544808715266349</v>
      </c>
    </row>
    <row r="67" spans="1:4" x14ac:dyDescent="0.25">
      <c r="A67" t="s">
        <v>26</v>
      </c>
      <c r="B67">
        <v>1.6391556880430799E-2</v>
      </c>
      <c r="C67">
        <v>8.9148733321361608E-3</v>
      </c>
      <c r="D67">
        <v>0.54165375765957802</v>
      </c>
    </row>
    <row r="68" spans="1:4" x14ac:dyDescent="0.25">
      <c r="A68" t="s">
        <v>169</v>
      </c>
      <c r="B68">
        <v>0.116933718291566</v>
      </c>
      <c r="C68">
        <v>0.12438071053699599</v>
      </c>
      <c r="D68">
        <v>0.539515645429687</v>
      </c>
    </row>
    <row r="69" spans="1:4" x14ac:dyDescent="0.25">
      <c r="A69" t="s">
        <v>236</v>
      </c>
      <c r="B69">
        <v>0.116367982514631</v>
      </c>
      <c r="C69">
        <v>6.6772615291367798E-2</v>
      </c>
      <c r="D69">
        <v>0.53931644172076498</v>
      </c>
    </row>
    <row r="70" spans="1:4" x14ac:dyDescent="0.25">
      <c r="A70" t="s">
        <v>311</v>
      </c>
      <c r="B70">
        <v>0.104305561501956</v>
      </c>
      <c r="C70">
        <v>0.240847161498806</v>
      </c>
      <c r="D70">
        <v>0.53569501734275504</v>
      </c>
    </row>
    <row r="71" spans="1:4" x14ac:dyDescent="0.25">
      <c r="A71" t="s">
        <v>302</v>
      </c>
      <c r="B71">
        <v>7.2172912783329601E-2</v>
      </c>
      <c r="C71">
        <v>0.23044174788382699</v>
      </c>
      <c r="D71">
        <v>0.53302120648061802</v>
      </c>
    </row>
    <row r="72" spans="1:4" x14ac:dyDescent="0.25">
      <c r="A72" t="s">
        <v>13</v>
      </c>
      <c r="B72">
        <v>8.0133042865278795E-2</v>
      </c>
      <c r="C72">
        <v>0.20074134490715401</v>
      </c>
      <c r="D72">
        <v>0.52195654814835601</v>
      </c>
    </row>
    <row r="73" spans="1:4" x14ac:dyDescent="0.25">
      <c r="A73" t="s">
        <v>292</v>
      </c>
      <c r="B73">
        <v>9.0675054528714605E-2</v>
      </c>
      <c r="C73">
        <v>0.247956098345437</v>
      </c>
      <c r="D73">
        <v>0.52160385963147105</v>
      </c>
    </row>
    <row r="74" spans="1:4" x14ac:dyDescent="0.25">
      <c r="A74" t="s">
        <v>305</v>
      </c>
      <c r="B74">
        <v>0.116851998685536</v>
      </c>
      <c r="C74">
        <v>0.119433942948196</v>
      </c>
      <c r="D74">
        <v>0.50716912373372602</v>
      </c>
    </row>
    <row r="75" spans="1:4" x14ac:dyDescent="0.25">
      <c r="A75" t="s">
        <v>165</v>
      </c>
      <c r="B75">
        <v>0.10500660043749301</v>
      </c>
      <c r="C75">
        <v>0.126338991458217</v>
      </c>
      <c r="D75">
        <v>0.489093523657264</v>
      </c>
    </row>
    <row r="76" spans="1:4" x14ac:dyDescent="0.25">
      <c r="A76" t="s">
        <v>37</v>
      </c>
      <c r="B76">
        <v>6.9015178416506701E-2</v>
      </c>
      <c r="C76">
        <v>3.5713263835208002E-2</v>
      </c>
      <c r="D76">
        <v>0.48062305768976399</v>
      </c>
    </row>
    <row r="77" spans="1:4" x14ac:dyDescent="0.25">
      <c r="A77" t="s">
        <v>57</v>
      </c>
      <c r="B77">
        <v>4.46704623187602E-2</v>
      </c>
      <c r="C77">
        <v>0.118597791599915</v>
      </c>
      <c r="D77">
        <v>0.47090414758783899</v>
      </c>
    </row>
    <row r="78" spans="1:4" x14ac:dyDescent="0.25">
      <c r="A78" t="s">
        <v>424</v>
      </c>
      <c r="B78">
        <v>6.5638609481229696E-2</v>
      </c>
      <c r="C78">
        <v>0.19775272580276901</v>
      </c>
      <c r="D78">
        <v>0.469624459675754</v>
      </c>
    </row>
    <row r="79" spans="1:4" x14ac:dyDescent="0.25">
      <c r="A79" t="s">
        <v>299</v>
      </c>
      <c r="B79">
        <v>6.9438237165557706E-2</v>
      </c>
      <c r="C79">
        <v>0.20566174014549901</v>
      </c>
      <c r="D79">
        <v>0.46621558958906401</v>
      </c>
    </row>
    <row r="80" spans="1:4" x14ac:dyDescent="0.25">
      <c r="A80" t="s">
        <v>344</v>
      </c>
      <c r="B80">
        <v>6.00284494087239E-2</v>
      </c>
      <c r="C80">
        <v>0.19816280638285599</v>
      </c>
      <c r="D80">
        <v>0.465211657558324</v>
      </c>
    </row>
    <row r="81" spans="1:4" x14ac:dyDescent="0.25">
      <c r="A81" t="s">
        <v>332</v>
      </c>
      <c r="B81">
        <v>7.6494007100542202E-2</v>
      </c>
      <c r="C81">
        <v>0.22496378660306099</v>
      </c>
      <c r="D81">
        <v>0.44772101230412398</v>
      </c>
    </row>
    <row r="82" spans="1:4" x14ac:dyDescent="0.25">
      <c r="A82" t="s">
        <v>347</v>
      </c>
      <c r="B82">
        <v>5.3628713031055798E-2</v>
      </c>
      <c r="C82">
        <v>3.13556389307863E-2</v>
      </c>
      <c r="D82">
        <v>0.40687973875246197</v>
      </c>
    </row>
    <row r="83" spans="1:4" x14ac:dyDescent="0.25">
      <c r="A83" t="s">
        <v>308</v>
      </c>
      <c r="B83">
        <v>6.6672275322138805E-2</v>
      </c>
      <c r="C83">
        <v>0.18176747308688301</v>
      </c>
      <c r="D83">
        <v>0.40171702828182598</v>
      </c>
    </row>
    <row r="84" spans="1:4" x14ac:dyDescent="0.25">
      <c r="A84" t="s">
        <v>34</v>
      </c>
      <c r="B84">
        <v>2.17081137967889E-2</v>
      </c>
      <c r="C84">
        <v>0.115076640809179</v>
      </c>
      <c r="D84">
        <v>0.38063412888270198</v>
      </c>
    </row>
    <row r="85" spans="1:4" x14ac:dyDescent="0.25">
      <c r="A85" t="s">
        <v>409</v>
      </c>
      <c r="B85">
        <v>2.0762536297357401E-2</v>
      </c>
      <c r="C85">
        <v>4.3561534391807197E-2</v>
      </c>
      <c r="D85">
        <v>0.19649934986053</v>
      </c>
    </row>
    <row r="86" spans="1:4" x14ac:dyDescent="0.25">
      <c r="A86" t="s">
        <v>412</v>
      </c>
      <c r="B86">
        <v>4.0718236210822703E-3</v>
      </c>
      <c r="C86">
        <v>1.7832013238997899E-2</v>
      </c>
      <c r="D86">
        <v>9.4215510338588201E-2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FA307-F86E-442E-99D3-2FF552BE59A8}">
  <dimension ref="A1:C95"/>
  <sheetViews>
    <sheetView workbookViewId="0">
      <selection sqref="A1:XFD1048576"/>
    </sheetView>
  </sheetViews>
  <sheetFormatPr defaultRowHeight="15" x14ac:dyDescent="0.25"/>
  <cols>
    <col min="1" max="1" width="47.42578125" bestFit="1" customWidth="1"/>
    <col min="2" max="2" width="47.85546875" bestFit="1" customWidth="1"/>
    <col min="3" max="3" width="12" bestFit="1" customWidth="1"/>
  </cols>
  <sheetData>
    <row r="1" spans="1:3" x14ac:dyDescent="0.25">
      <c r="A1" t="s">
        <v>436</v>
      </c>
      <c r="B1" t="s">
        <v>437</v>
      </c>
      <c r="C1" t="s">
        <v>438</v>
      </c>
    </row>
    <row r="2" spans="1:3" x14ac:dyDescent="0.25">
      <c r="A2" t="s">
        <v>277</v>
      </c>
      <c r="B2" t="s">
        <v>280</v>
      </c>
      <c r="C2">
        <v>0.99986974900000003</v>
      </c>
    </row>
    <row r="3" spans="1:3" x14ac:dyDescent="0.25">
      <c r="A3" t="s">
        <v>179</v>
      </c>
      <c r="B3" t="s">
        <v>206</v>
      </c>
      <c r="C3">
        <v>0.99983487100000001</v>
      </c>
    </row>
    <row r="4" spans="1:3" x14ac:dyDescent="0.25">
      <c r="A4" t="s">
        <v>232</v>
      </c>
      <c r="B4" t="s">
        <v>253</v>
      </c>
      <c r="C4">
        <v>0.99981251999999998</v>
      </c>
    </row>
    <row r="5" spans="1:3" x14ac:dyDescent="0.25">
      <c r="A5" t="s">
        <v>17</v>
      </c>
      <c r="B5" t="s">
        <v>31</v>
      </c>
      <c r="C5">
        <v>0.99957713999999998</v>
      </c>
    </row>
    <row r="6" spans="1:3" x14ac:dyDescent="0.25">
      <c r="A6" t="s">
        <v>425</v>
      </c>
      <c r="B6" t="s">
        <v>430</v>
      </c>
      <c r="C6">
        <v>0.99954684500000002</v>
      </c>
    </row>
    <row r="7" spans="1:3" x14ac:dyDescent="0.25">
      <c r="A7" t="s">
        <v>245</v>
      </c>
      <c r="B7" t="s">
        <v>269</v>
      </c>
      <c r="C7">
        <v>0.99950349299999997</v>
      </c>
    </row>
    <row r="8" spans="1:3" x14ac:dyDescent="0.25">
      <c r="A8" t="s">
        <v>428</v>
      </c>
      <c r="B8" t="s">
        <v>429</v>
      </c>
      <c r="C8">
        <v>0.99929372900000002</v>
      </c>
    </row>
    <row r="9" spans="1:3" x14ac:dyDescent="0.25">
      <c r="A9" t="s">
        <v>188</v>
      </c>
      <c r="B9" t="s">
        <v>215</v>
      </c>
      <c r="C9">
        <v>0.99929016599999998</v>
      </c>
    </row>
    <row r="10" spans="1:3" x14ac:dyDescent="0.25">
      <c r="A10" t="s">
        <v>172</v>
      </c>
      <c r="B10" t="s">
        <v>200</v>
      </c>
      <c r="C10">
        <v>0.99897621800000003</v>
      </c>
    </row>
    <row r="11" spans="1:3" x14ac:dyDescent="0.25">
      <c r="A11" t="s">
        <v>185</v>
      </c>
      <c r="B11" t="s">
        <v>212</v>
      </c>
      <c r="C11">
        <v>0.99895100100000001</v>
      </c>
    </row>
    <row r="12" spans="1:3" x14ac:dyDescent="0.25">
      <c r="A12" t="s">
        <v>236</v>
      </c>
      <c r="B12" t="s">
        <v>258</v>
      </c>
      <c r="C12">
        <v>0.99849874299999997</v>
      </c>
    </row>
    <row r="13" spans="1:3" x14ac:dyDescent="0.25">
      <c r="A13" t="s">
        <v>191</v>
      </c>
      <c r="B13" t="s">
        <v>218</v>
      </c>
      <c r="C13">
        <v>0.99690358199999995</v>
      </c>
    </row>
    <row r="14" spans="1:3" x14ac:dyDescent="0.25">
      <c r="A14" t="s">
        <v>238</v>
      </c>
      <c r="B14" t="s">
        <v>261</v>
      </c>
      <c r="C14">
        <v>0.99675877300000004</v>
      </c>
    </row>
    <row r="15" spans="1:3" x14ac:dyDescent="0.25">
      <c r="A15" t="s">
        <v>197</v>
      </c>
      <c r="B15" t="s">
        <v>224</v>
      </c>
      <c r="C15">
        <v>0.99665933299999998</v>
      </c>
    </row>
    <row r="16" spans="1:3" x14ac:dyDescent="0.25">
      <c r="A16" t="s">
        <v>182</v>
      </c>
      <c r="B16" t="s">
        <v>209</v>
      </c>
      <c r="C16">
        <v>0.99619687599999995</v>
      </c>
    </row>
    <row r="17" spans="1:3" x14ac:dyDescent="0.25">
      <c r="A17" t="s">
        <v>176</v>
      </c>
      <c r="B17" t="s">
        <v>203</v>
      </c>
      <c r="C17">
        <v>0.99553827299999997</v>
      </c>
    </row>
    <row r="18" spans="1:3" x14ac:dyDescent="0.25">
      <c r="A18" t="s">
        <v>234</v>
      </c>
      <c r="B18" t="s">
        <v>256</v>
      </c>
      <c r="C18">
        <v>0.99463138299999998</v>
      </c>
    </row>
    <row r="19" spans="1:3" x14ac:dyDescent="0.25">
      <c r="A19" t="s">
        <v>227</v>
      </c>
      <c r="B19" t="s">
        <v>248</v>
      </c>
      <c r="C19">
        <v>0.99443795499999998</v>
      </c>
    </row>
    <row r="20" spans="1:3" x14ac:dyDescent="0.25">
      <c r="A20" t="s">
        <v>229</v>
      </c>
      <c r="B20" t="s">
        <v>251</v>
      </c>
      <c r="C20">
        <v>0.99343466400000002</v>
      </c>
    </row>
    <row r="21" spans="1:3" x14ac:dyDescent="0.25">
      <c r="A21" t="s">
        <v>194</v>
      </c>
      <c r="B21" t="s">
        <v>221</v>
      </c>
      <c r="C21">
        <v>0.99315539399999997</v>
      </c>
    </row>
    <row r="22" spans="1:3" x14ac:dyDescent="0.25">
      <c r="A22" t="s">
        <v>240</v>
      </c>
      <c r="B22" t="s">
        <v>264</v>
      </c>
      <c r="C22">
        <v>0.99113545999999997</v>
      </c>
    </row>
    <row r="23" spans="1:3" x14ac:dyDescent="0.25">
      <c r="A23" t="s">
        <v>242</v>
      </c>
      <c r="B23" t="s">
        <v>267</v>
      </c>
      <c r="C23">
        <v>0.99106098499999995</v>
      </c>
    </row>
    <row r="24" spans="1:3" x14ac:dyDescent="0.25">
      <c r="A24" t="s">
        <v>311</v>
      </c>
      <c r="B24" t="s">
        <v>317</v>
      </c>
      <c r="C24">
        <v>0.988196666</v>
      </c>
    </row>
    <row r="25" spans="1:3" x14ac:dyDescent="0.25">
      <c r="A25" t="s">
        <v>292</v>
      </c>
      <c r="B25" t="s">
        <v>296</v>
      </c>
      <c r="C25">
        <v>0.97895304800000005</v>
      </c>
    </row>
    <row r="26" spans="1:3" x14ac:dyDescent="0.25">
      <c r="A26" t="s">
        <v>296</v>
      </c>
      <c r="B26" t="s">
        <v>311</v>
      </c>
      <c r="C26">
        <v>0.97848360400000001</v>
      </c>
    </row>
    <row r="27" spans="1:3" x14ac:dyDescent="0.25">
      <c r="A27" t="s">
        <v>292</v>
      </c>
      <c r="B27" t="s">
        <v>311</v>
      </c>
      <c r="C27">
        <v>0.97669337199999995</v>
      </c>
    </row>
    <row r="28" spans="1:3" x14ac:dyDescent="0.25">
      <c r="A28" t="s">
        <v>224</v>
      </c>
      <c r="B28" t="s">
        <v>245</v>
      </c>
      <c r="C28">
        <v>0.97659010099999999</v>
      </c>
    </row>
    <row r="29" spans="1:3" x14ac:dyDescent="0.25">
      <c r="A29" t="s">
        <v>197</v>
      </c>
      <c r="B29" t="s">
        <v>269</v>
      </c>
      <c r="C29">
        <v>0.97639592900000005</v>
      </c>
    </row>
    <row r="30" spans="1:3" x14ac:dyDescent="0.25">
      <c r="A30" t="s">
        <v>224</v>
      </c>
      <c r="B30" t="s">
        <v>269</v>
      </c>
      <c r="C30">
        <v>0.97594788499999996</v>
      </c>
    </row>
    <row r="31" spans="1:3" x14ac:dyDescent="0.25">
      <c r="A31" t="s">
        <v>197</v>
      </c>
      <c r="B31" t="s">
        <v>245</v>
      </c>
      <c r="C31">
        <v>0.97459548600000001</v>
      </c>
    </row>
    <row r="32" spans="1:3" x14ac:dyDescent="0.25">
      <c r="A32" t="s">
        <v>280</v>
      </c>
      <c r="B32" t="s">
        <v>425</v>
      </c>
      <c r="C32">
        <v>0.97393997600000004</v>
      </c>
    </row>
    <row r="33" spans="1:3" x14ac:dyDescent="0.25">
      <c r="A33" t="s">
        <v>277</v>
      </c>
      <c r="B33" t="s">
        <v>425</v>
      </c>
      <c r="C33">
        <v>0.97384062500000002</v>
      </c>
    </row>
    <row r="34" spans="1:3" x14ac:dyDescent="0.25">
      <c r="A34" t="s">
        <v>277</v>
      </c>
      <c r="B34" t="s">
        <v>430</v>
      </c>
      <c r="C34">
        <v>0.97297102800000002</v>
      </c>
    </row>
    <row r="35" spans="1:3" x14ac:dyDescent="0.25">
      <c r="A35" t="s">
        <v>280</v>
      </c>
      <c r="B35" t="s">
        <v>430</v>
      </c>
      <c r="C35">
        <v>0.97287482400000003</v>
      </c>
    </row>
    <row r="36" spans="1:3" x14ac:dyDescent="0.25">
      <c r="A36" t="s">
        <v>311</v>
      </c>
      <c r="B36" t="s">
        <v>431</v>
      </c>
      <c r="C36">
        <v>0.96879691499999998</v>
      </c>
    </row>
    <row r="37" spans="1:3" x14ac:dyDescent="0.25">
      <c r="A37" t="s">
        <v>317</v>
      </c>
      <c r="B37" t="s">
        <v>431</v>
      </c>
      <c r="C37">
        <v>0.968433086</v>
      </c>
    </row>
    <row r="38" spans="1:3" x14ac:dyDescent="0.25">
      <c r="A38" t="s">
        <v>49</v>
      </c>
      <c r="B38" t="s">
        <v>55</v>
      </c>
      <c r="C38">
        <v>0.96631526899999998</v>
      </c>
    </row>
    <row r="39" spans="1:3" x14ac:dyDescent="0.25">
      <c r="A39" t="s">
        <v>296</v>
      </c>
      <c r="B39" t="s">
        <v>317</v>
      </c>
      <c r="C39">
        <v>0.95846581799999997</v>
      </c>
    </row>
    <row r="40" spans="1:3" x14ac:dyDescent="0.25">
      <c r="A40" t="s">
        <v>63</v>
      </c>
      <c r="B40" t="s">
        <v>69</v>
      </c>
      <c r="C40">
        <v>0.955367831</v>
      </c>
    </row>
    <row r="41" spans="1:3" x14ac:dyDescent="0.25">
      <c r="A41" t="s">
        <v>292</v>
      </c>
      <c r="B41" t="s">
        <v>317</v>
      </c>
      <c r="C41">
        <v>0.95013828899999997</v>
      </c>
    </row>
    <row r="42" spans="1:3" x14ac:dyDescent="0.25">
      <c r="A42" t="s">
        <v>271</v>
      </c>
      <c r="B42" t="s">
        <v>428</v>
      </c>
      <c r="C42">
        <v>0.94552540299999999</v>
      </c>
    </row>
    <row r="43" spans="1:3" x14ac:dyDescent="0.25">
      <c r="A43" t="s">
        <v>194</v>
      </c>
      <c r="B43" t="s">
        <v>267</v>
      </c>
      <c r="C43">
        <v>0.94525531299999999</v>
      </c>
    </row>
    <row r="44" spans="1:3" x14ac:dyDescent="0.25">
      <c r="A44" t="s">
        <v>221</v>
      </c>
      <c r="B44" t="s">
        <v>242</v>
      </c>
      <c r="C44">
        <v>0.94483565899999999</v>
      </c>
    </row>
    <row r="45" spans="1:3" x14ac:dyDescent="0.25">
      <c r="A45" t="s">
        <v>271</v>
      </c>
      <c r="B45" t="s">
        <v>429</v>
      </c>
      <c r="C45">
        <v>0.94432162799999997</v>
      </c>
    </row>
    <row r="46" spans="1:3" x14ac:dyDescent="0.25">
      <c r="A46" t="s">
        <v>194</v>
      </c>
      <c r="B46" t="s">
        <v>242</v>
      </c>
      <c r="C46">
        <v>0.93818868099999997</v>
      </c>
    </row>
    <row r="47" spans="1:3" x14ac:dyDescent="0.25">
      <c r="A47" t="s">
        <v>221</v>
      </c>
      <c r="B47" t="s">
        <v>267</v>
      </c>
      <c r="C47">
        <v>0.93661995399999998</v>
      </c>
    </row>
    <row r="48" spans="1:3" x14ac:dyDescent="0.25">
      <c r="A48" t="s">
        <v>296</v>
      </c>
      <c r="B48" t="s">
        <v>431</v>
      </c>
      <c r="C48">
        <v>0.93187044200000002</v>
      </c>
    </row>
    <row r="49" spans="1:3" x14ac:dyDescent="0.25">
      <c r="A49" t="s">
        <v>292</v>
      </c>
      <c r="B49" t="s">
        <v>320</v>
      </c>
      <c r="C49">
        <v>0.92453888200000001</v>
      </c>
    </row>
    <row r="50" spans="1:3" x14ac:dyDescent="0.25">
      <c r="A50" t="s">
        <v>292</v>
      </c>
      <c r="B50" t="s">
        <v>431</v>
      </c>
      <c r="C50">
        <v>0.92204672799999998</v>
      </c>
    </row>
    <row r="51" spans="1:3" x14ac:dyDescent="0.25">
      <c r="A51" t="s">
        <v>200</v>
      </c>
      <c r="B51" t="s">
        <v>428</v>
      </c>
      <c r="C51">
        <v>0.92184687600000004</v>
      </c>
    </row>
    <row r="52" spans="1:3" x14ac:dyDescent="0.25">
      <c r="A52" t="s">
        <v>172</v>
      </c>
      <c r="B52" t="s">
        <v>428</v>
      </c>
      <c r="C52">
        <v>0.92105594499999999</v>
      </c>
    </row>
    <row r="53" spans="1:3" x14ac:dyDescent="0.25">
      <c r="A53" t="s">
        <v>200</v>
      </c>
      <c r="B53" t="s">
        <v>429</v>
      </c>
      <c r="C53">
        <v>0.91872388699999996</v>
      </c>
    </row>
    <row r="54" spans="1:3" x14ac:dyDescent="0.25">
      <c r="A54" t="s">
        <v>172</v>
      </c>
      <c r="B54" t="s">
        <v>429</v>
      </c>
      <c r="C54">
        <v>0.91639286900000005</v>
      </c>
    </row>
    <row r="55" spans="1:3" x14ac:dyDescent="0.25">
      <c r="A55" t="s">
        <v>45</v>
      </c>
      <c r="B55" t="s">
        <v>55</v>
      </c>
      <c r="C55">
        <v>0.91368736800000006</v>
      </c>
    </row>
    <row r="56" spans="1:3" x14ac:dyDescent="0.25">
      <c r="A56" t="s">
        <v>292</v>
      </c>
      <c r="B56" t="s">
        <v>302</v>
      </c>
      <c r="C56">
        <v>0.90499783099999997</v>
      </c>
    </row>
    <row r="57" spans="1:3" x14ac:dyDescent="0.25">
      <c r="A57" t="s">
        <v>45</v>
      </c>
      <c r="B57" t="s">
        <v>49</v>
      </c>
      <c r="C57">
        <v>0.89565772200000004</v>
      </c>
    </row>
    <row r="58" spans="1:3" x14ac:dyDescent="0.25">
      <c r="A58" t="s">
        <v>296</v>
      </c>
      <c r="B58" t="s">
        <v>302</v>
      </c>
      <c r="C58">
        <v>0.89520978799999995</v>
      </c>
    </row>
    <row r="59" spans="1:3" x14ac:dyDescent="0.25">
      <c r="A59" t="s">
        <v>292</v>
      </c>
      <c r="B59" t="s">
        <v>332</v>
      </c>
      <c r="C59">
        <v>0.89293257400000003</v>
      </c>
    </row>
    <row r="60" spans="1:3" x14ac:dyDescent="0.25">
      <c r="A60" t="s">
        <v>165</v>
      </c>
      <c r="B60" t="s">
        <v>169</v>
      </c>
      <c r="C60">
        <v>0.89171410600000001</v>
      </c>
    </row>
    <row r="61" spans="1:3" x14ac:dyDescent="0.25">
      <c r="A61" t="s">
        <v>296</v>
      </c>
      <c r="B61" t="s">
        <v>332</v>
      </c>
      <c r="C61">
        <v>0.88567128900000003</v>
      </c>
    </row>
    <row r="62" spans="1:3" x14ac:dyDescent="0.25">
      <c r="A62" t="s">
        <v>311</v>
      </c>
      <c r="B62" t="s">
        <v>320</v>
      </c>
      <c r="C62">
        <v>0.88424086300000004</v>
      </c>
    </row>
    <row r="63" spans="1:3" x14ac:dyDescent="0.25">
      <c r="A63" t="s">
        <v>314</v>
      </c>
      <c r="B63" t="s">
        <v>431</v>
      </c>
      <c r="C63">
        <v>0.88356063600000001</v>
      </c>
    </row>
    <row r="64" spans="1:3" x14ac:dyDescent="0.25">
      <c r="A64" t="s">
        <v>296</v>
      </c>
      <c r="B64" t="s">
        <v>320</v>
      </c>
      <c r="C64">
        <v>0.88144106899999997</v>
      </c>
    </row>
    <row r="65" spans="1:3" x14ac:dyDescent="0.25">
      <c r="A65" t="s">
        <v>302</v>
      </c>
      <c r="B65" t="s">
        <v>311</v>
      </c>
      <c r="C65">
        <v>0.87935597700000001</v>
      </c>
    </row>
    <row r="66" spans="1:3" x14ac:dyDescent="0.25">
      <c r="A66" t="s">
        <v>203</v>
      </c>
      <c r="B66" t="s">
        <v>229</v>
      </c>
      <c r="C66">
        <v>0.87879137799999996</v>
      </c>
    </row>
    <row r="67" spans="1:3" x14ac:dyDescent="0.25">
      <c r="A67" t="s">
        <v>314</v>
      </c>
      <c r="B67" t="s">
        <v>317</v>
      </c>
      <c r="C67">
        <v>0.87741231799999997</v>
      </c>
    </row>
    <row r="68" spans="1:3" x14ac:dyDescent="0.25">
      <c r="A68" t="s">
        <v>176</v>
      </c>
      <c r="B68" t="s">
        <v>251</v>
      </c>
      <c r="C68">
        <v>0.87640861199999998</v>
      </c>
    </row>
    <row r="69" spans="1:3" x14ac:dyDescent="0.25">
      <c r="A69" t="s">
        <v>203</v>
      </c>
      <c r="B69" t="s">
        <v>251</v>
      </c>
      <c r="C69">
        <v>0.87553793099999999</v>
      </c>
    </row>
    <row r="70" spans="1:3" x14ac:dyDescent="0.25">
      <c r="A70" t="s">
        <v>176</v>
      </c>
      <c r="B70" t="s">
        <v>229</v>
      </c>
      <c r="C70">
        <v>0.86959428900000002</v>
      </c>
    </row>
    <row r="71" spans="1:3" x14ac:dyDescent="0.25">
      <c r="A71" t="s">
        <v>206</v>
      </c>
      <c r="B71" t="s">
        <v>232</v>
      </c>
      <c r="C71">
        <v>0.86334154500000004</v>
      </c>
    </row>
    <row r="72" spans="1:3" x14ac:dyDescent="0.25">
      <c r="A72" t="s">
        <v>206</v>
      </c>
      <c r="B72" t="s">
        <v>253</v>
      </c>
      <c r="C72">
        <v>0.86324459899999995</v>
      </c>
    </row>
    <row r="73" spans="1:3" x14ac:dyDescent="0.25">
      <c r="A73" t="s">
        <v>311</v>
      </c>
      <c r="B73" t="s">
        <v>332</v>
      </c>
      <c r="C73">
        <v>0.862755402</v>
      </c>
    </row>
    <row r="74" spans="1:3" x14ac:dyDescent="0.25">
      <c r="A74" t="s">
        <v>179</v>
      </c>
      <c r="B74" t="s">
        <v>253</v>
      </c>
      <c r="C74">
        <v>0.86262268900000005</v>
      </c>
    </row>
    <row r="75" spans="1:3" x14ac:dyDescent="0.25">
      <c r="A75" t="s">
        <v>179</v>
      </c>
      <c r="B75" t="s">
        <v>232</v>
      </c>
      <c r="C75">
        <v>0.86240398299999999</v>
      </c>
    </row>
    <row r="76" spans="1:3" x14ac:dyDescent="0.25">
      <c r="A76" t="s">
        <v>320</v>
      </c>
      <c r="B76" t="s">
        <v>332</v>
      </c>
      <c r="C76">
        <v>0.86095429599999995</v>
      </c>
    </row>
    <row r="77" spans="1:3" x14ac:dyDescent="0.25">
      <c r="A77" t="s">
        <v>200</v>
      </c>
      <c r="B77" t="s">
        <v>271</v>
      </c>
      <c r="C77">
        <v>0.86037986499999997</v>
      </c>
    </row>
    <row r="78" spans="1:3" x14ac:dyDescent="0.25">
      <c r="A78" t="s">
        <v>172</v>
      </c>
      <c r="B78" t="s">
        <v>271</v>
      </c>
      <c r="C78">
        <v>0.85998550699999998</v>
      </c>
    </row>
    <row r="79" spans="1:3" x14ac:dyDescent="0.25">
      <c r="A79" t="s">
        <v>209</v>
      </c>
      <c r="B79" t="s">
        <v>234</v>
      </c>
      <c r="C79">
        <v>0.85597103900000004</v>
      </c>
    </row>
    <row r="80" spans="1:3" x14ac:dyDescent="0.25">
      <c r="A80" t="s">
        <v>182</v>
      </c>
      <c r="B80" t="s">
        <v>256</v>
      </c>
      <c r="C80">
        <v>0.85577052399999998</v>
      </c>
    </row>
    <row r="81" spans="1:3" x14ac:dyDescent="0.25">
      <c r="A81" t="s">
        <v>302</v>
      </c>
      <c r="B81" t="s">
        <v>431</v>
      </c>
      <c r="C81">
        <v>0.85472900200000002</v>
      </c>
    </row>
    <row r="82" spans="1:3" x14ac:dyDescent="0.25">
      <c r="A82" t="s">
        <v>23</v>
      </c>
      <c r="B82" t="s">
        <v>28</v>
      </c>
      <c r="C82">
        <v>0.85454627100000002</v>
      </c>
    </row>
    <row r="83" spans="1:3" x14ac:dyDescent="0.25">
      <c r="A83" t="s">
        <v>209</v>
      </c>
      <c r="B83" t="s">
        <v>256</v>
      </c>
      <c r="C83">
        <v>0.85315945400000004</v>
      </c>
    </row>
    <row r="84" spans="1:3" x14ac:dyDescent="0.25">
      <c r="A84" t="s">
        <v>296</v>
      </c>
      <c r="B84" t="s">
        <v>299</v>
      </c>
      <c r="C84">
        <v>0.85188655999999996</v>
      </c>
    </row>
    <row r="85" spans="1:3" x14ac:dyDescent="0.25">
      <c r="A85" t="s">
        <v>182</v>
      </c>
      <c r="B85" t="s">
        <v>234</v>
      </c>
      <c r="C85">
        <v>0.85034156699999996</v>
      </c>
    </row>
    <row r="86" spans="1:3" x14ac:dyDescent="0.25">
      <c r="A86" t="s">
        <v>317</v>
      </c>
      <c r="B86" t="s">
        <v>320</v>
      </c>
      <c r="C86">
        <v>0.84668808900000003</v>
      </c>
    </row>
    <row r="87" spans="1:3" x14ac:dyDescent="0.25">
      <c r="A87" t="s">
        <v>302</v>
      </c>
      <c r="B87" t="s">
        <v>317</v>
      </c>
      <c r="C87">
        <v>0.84592710900000001</v>
      </c>
    </row>
    <row r="88" spans="1:3" x14ac:dyDescent="0.25">
      <c r="A88" t="s">
        <v>311</v>
      </c>
      <c r="B88" t="s">
        <v>314</v>
      </c>
      <c r="C88">
        <v>0.84422697400000002</v>
      </c>
    </row>
    <row r="89" spans="1:3" x14ac:dyDescent="0.25">
      <c r="A89" t="s">
        <v>23</v>
      </c>
      <c r="B89" t="s">
        <v>42</v>
      </c>
      <c r="C89">
        <v>0.84098326899999998</v>
      </c>
    </row>
    <row r="90" spans="1:3" x14ac:dyDescent="0.25">
      <c r="A90" t="s">
        <v>302</v>
      </c>
      <c r="B90" t="s">
        <v>320</v>
      </c>
      <c r="C90">
        <v>0.83568216299999998</v>
      </c>
    </row>
    <row r="91" spans="1:3" x14ac:dyDescent="0.25">
      <c r="A91" t="s">
        <v>317</v>
      </c>
      <c r="B91" t="s">
        <v>332</v>
      </c>
      <c r="C91">
        <v>0.830798429</v>
      </c>
    </row>
    <row r="92" spans="1:3" x14ac:dyDescent="0.25">
      <c r="A92" t="s">
        <v>299</v>
      </c>
      <c r="B92" t="s">
        <v>332</v>
      </c>
      <c r="C92">
        <v>0.82748807899999999</v>
      </c>
    </row>
    <row r="93" spans="1:3" x14ac:dyDescent="0.25">
      <c r="A93" t="s">
        <v>20</v>
      </c>
      <c r="B93" t="s">
        <v>26</v>
      </c>
      <c r="C93">
        <v>0.82077399799999995</v>
      </c>
    </row>
    <row r="94" spans="1:3" x14ac:dyDescent="0.25">
      <c r="A94" t="s">
        <v>191</v>
      </c>
      <c r="B94" t="s">
        <v>271</v>
      </c>
      <c r="C94">
        <v>0.80710236199999996</v>
      </c>
    </row>
    <row r="95" spans="1:3" x14ac:dyDescent="0.25">
      <c r="A95" t="s">
        <v>218</v>
      </c>
      <c r="B95" t="s">
        <v>271</v>
      </c>
      <c r="C95">
        <v>0.80687166399999999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feature_summary_final</vt:lpstr>
      <vt:lpstr>feature_summary_1</vt:lpstr>
      <vt:lpstr>feature_importance</vt:lpstr>
      <vt:lpstr>pca</vt:lpstr>
      <vt:lpstr>high_correlation_feat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Emmaleah Jones</cp:lastModifiedBy>
  <dcterms:created xsi:type="dcterms:W3CDTF">2026-01-16T23:23:30Z</dcterms:created>
  <dcterms:modified xsi:type="dcterms:W3CDTF">2026-03-13T20:41:49Z</dcterms:modified>
</cp:coreProperties>
</file>